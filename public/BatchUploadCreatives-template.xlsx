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eatives" sheetId="1" state="visible" r:id="rId2"/>
    <sheet name="validation" sheetId="2" state="hidden" r:id="rId3"/>
    <sheet name="data" sheetId="3" state="hidden" r:id="rId4"/>
    <sheet name="metadata" sheetId="4" state="hidden" r:id="rId5"/>
  </sheets>
  <definedNames>
    <definedName function="false" hidden="false" name="countDefinedLines" vbProcedure="false">metadata!$B$2</definedName>
    <definedName function="false" hidden="false" name="hasBlankLines" vbProcedure="false">metadata!$B$6</definedName>
    <definedName function="false" hidden="false" name="hasntErrors" vbProcedure="false">metadata!$B$4</definedName>
    <definedName function="false" hidden="false" name="isEmpty" vbProcedure="false">metadata!$B$5</definedName>
    <definedName function="false" hidden="false" name="isValid" vbProcedure="false">metadata!$B$3</definedName>
    <definedName function="false" hidden="false" name="version" vbProcedure="false">metadata!$B$1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A1" authorId="0">
      <text>
        <r>
          <rPr>
            <sz val="12"/>
            <color rgb="FF000000"/>
            <rFont val="Calibri"/>
            <family val="2"/>
            <charset val="1"/>
          </rPr>
          <t xml:space="preserve">Julien:
</t>
        </r>
        <r>
          <rPr>
            <sz val="9"/>
            <color rgb="FF000000"/>
            <rFont val="Tahoma"/>
            <family val="2"/>
            <charset val="1"/>
          </rPr>
          <t xml:space="preserve">Si au moins une colonne de la ligne est remplie, alors TRUE, sinon FALSE</t>
        </r>
      </text>
    </comment>
    <comment ref="B1" authorId="0">
      <text>
        <r>
          <rPr>
            <sz val="12"/>
            <color rgb="FF000000"/>
            <rFont val="Calibri"/>
            <family val="2"/>
            <charset val="1"/>
          </rPr>
          <t xml:space="preserve">Julien:
</t>
        </r>
        <r>
          <rPr>
            <sz val="9"/>
            <color rgb="FF000000"/>
            <rFont val="Tahoma"/>
            <family val="2"/>
            <charset val="1"/>
          </rPr>
          <t xml:space="preserve">1=ERROR, 0=OK
Not blank &amp; inf 100 chars</t>
        </r>
      </text>
    </comment>
    <comment ref="C1" authorId="0">
      <text>
        <r>
          <rPr>
            <sz val="12"/>
            <color rgb="FF000000"/>
            <rFont val="Calibri"/>
            <family val="2"/>
            <charset val="1"/>
          </rPr>
          <t xml:space="preserve">Julien:
</t>
        </r>
        <r>
          <rPr>
            <sz val="9"/>
            <color rgb="FF000000"/>
            <rFont val="Tahoma"/>
            <family val="2"/>
            <charset val="1"/>
          </rPr>
          <t xml:space="preserve">1=ERROR, 0=OK
Check value exists in allowed range</t>
        </r>
      </text>
    </comment>
    <comment ref="D1" authorId="0">
      <text>
        <r>
          <rPr>
            <sz val="12"/>
            <color rgb="FF000000"/>
            <rFont val="Calibri"/>
            <family val="2"/>
            <charset val="1"/>
          </rPr>
          <t xml:space="preserve">Julien:
</t>
        </r>
        <r>
          <rPr>
            <sz val="9"/>
            <color rgb="FF000000"/>
            <rFont val="Tahoma"/>
            <family val="2"/>
            <charset val="1"/>
          </rPr>
          <t xml:space="preserve">1=ERROR, 0=OK
Doit commencer par http:// ou https://
</t>
        </r>
      </text>
    </comment>
    <comment ref="E1" authorId="0">
      <text>
        <r>
          <rPr>
            <sz val="12"/>
            <color rgb="FF000000"/>
            <rFont val="Calibri"/>
            <family val="2"/>
            <charset val="1"/>
          </rPr>
          <t xml:space="preserve">Julien:
</t>
        </r>
        <r>
          <rPr>
            <sz val="9"/>
            <color rgb="FF000000"/>
            <rFont val="Tahoma"/>
            <family val="2"/>
            <charset val="1"/>
          </rPr>
          <t xml:space="preserve">1=ERROR, 0=OK
Doit commencer par http:// ou https://</t>
        </r>
      </text>
    </comment>
  </commentList>
</comments>
</file>

<file path=xl/sharedStrings.xml><?xml version="1.0" encoding="utf-8"?>
<sst xmlns="http://schemas.openxmlformats.org/spreadsheetml/2006/main" count="1570" uniqueCount="1565">
  <si>
    <t xml:space="preserve">Valid ?</t>
  </si>
  <si>
    <t xml:space="preserve">Name*</t>
  </si>
  <si>
    <t xml:space="preserve">IAB Category*</t>
  </si>
  <si>
    <t xml:space="preserve">Creative Type*</t>
  </si>
  <si>
    <t xml:space="preserve">Creative Size*</t>
  </si>
  <si>
    <t xml:space="preserve">Creative attribute (optional)</t>
  </si>
  <si>
    <t xml:space="preserve">Preview Image URL*</t>
  </si>
  <si>
    <t xml:space="preserve">Landing Page*</t>
  </si>
  <si>
    <t xml:space="preserve">AdServer*</t>
  </si>
  <si>
    <t xml:space="preserve">Script*</t>
  </si>
  <si>
    <t xml:space="preserve">Creative name</t>
  </si>
  <si>
    <t xml:space="preserve">Automotive</t>
  </si>
  <si>
    <t xml:space="preserve">mraid2</t>
  </si>
  <si>
    <t xml:space="preserve">Banner (320x240)</t>
  </si>
  <si>
    <t xml:space="preserve">https://publisher.com/ads/preview.png</t>
  </si>
  <si>
    <t xml:space="preserve">https://www.tabmo.io</t>
  </si>
  <si>
    <t xml:space="preserve">Other</t>
  </si>
  <si>
    <t xml:space="preserve">&lt;SCRIPT language='JavaScript1.1' SRC="https://ad.doubleclick.net/ddm/adj/XXXXXX.XXXXXX/XXXXXXX.XXXXXXX;abr=!ie;sz=320x480;ord=[timestamp];dc_lat=;dc_rdid=;tag_for_child_directed_treatment=(https://ad.doubleclick.net/ddm/adi/XXXXXXX.XXXXX/XXXXXXX.XXXXXXX;sz=320x480;ord=[timestamp];dc_lat=;dc_rdid=;tag_for_child_directed_treatment=);click=${HAWK_CLICK_REDIRECT_START}https://events.tabmo.io/track/redirect?url=${HAWK_CLICK_REDIRECT_END}"&gt; 
//${click_command_redirect}?"&gt;
&lt;/SCRIPT&gt;</t>
  </si>
  <si>
    <t xml:space="preserve">200 creatives max</t>
  </si>
  <si>
    <t xml:space="preserve">ShoulbBeChecked?</t>
  </si>
  <si>
    <t xml:space="preserve">Name</t>
  </si>
  <si>
    <t xml:space="preserve">Crea type</t>
  </si>
  <si>
    <t xml:space="preserve">Preview</t>
  </si>
  <si>
    <t xml:space="preserve">Landing</t>
  </si>
  <si>
    <t xml:space="preserve">AdServer</t>
  </si>
  <si>
    <t xml:space="preserve">Script</t>
  </si>
  <si>
    <t xml:space="preserve">Crea attr</t>
  </si>
  <si>
    <t xml:space="preserve">Attribute ID</t>
  </si>
  <si>
    <t xml:space="preserve">Size name</t>
  </si>
  <si>
    <t xml:space="preserve">Size ID</t>
  </si>
  <si>
    <t xml:space="preserve">Cat</t>
  </si>
  <si>
    <t xml:space="preserve">Cat ID</t>
  </si>
  <si>
    <t xml:space="preserve">Ligne valide ?</t>
  </si>
  <si>
    <t xml:space="preserve">Index</t>
  </si>
  <si>
    <t xml:space="preserve">All previous are defined</t>
  </si>
  <si>
    <t xml:space="preserve">Last defined</t>
  </si>
  <si>
    <t xml:space="preserve">IAB Cat name</t>
  </si>
  <si>
    <t xml:space="preserve">IAB Cat id</t>
  </si>
  <si>
    <t xml:space="preserve">Creative Type</t>
  </si>
  <si>
    <t xml:space="preserve">Adservers</t>
  </si>
  <si>
    <t xml:space="preserve">Creatives attributes</t>
  </si>
  <si>
    <t xml:space="preserve">Creative Size Name</t>
  </si>
  <si>
    <t xml:space="preserve">Creative Size ID</t>
  </si>
  <si>
    <t xml:space="preserve">1</t>
  </si>
  <si>
    <t xml:space="preserve">Audio Ad (Auto Play)</t>
  </si>
  <si>
    <t xml:space="preserve">Rectangle banner (300x100)</t>
  </si>
  <si>
    <t xml:space="preserve">c817eaf7-6ff5-48c3-8b0f-dbef410b19a1</t>
  </si>
  <si>
    <t xml:space="preserve">Auto Body Styles</t>
  </si>
  <si>
    <t xml:space="preserve">2</t>
  </si>
  <si>
    <t xml:space="preserve">mraid1</t>
  </si>
  <si>
    <t xml:space="preserve">Sizmek</t>
  </si>
  <si>
    <t xml:space="preserve">Audio Ad (User Initiated)</t>
  </si>
  <si>
    <t xml:space="preserve">Standard banner (300x50)</t>
  </si>
  <si>
    <t xml:space="preserve">0e38eab8-55fc-41ee-b17a-4d76d4ed1e17</t>
  </si>
  <si>
    <t xml:space="preserve">Commercial Trucks</t>
  </si>
  <si>
    <t xml:space="preserve">3</t>
  </si>
  <si>
    <t xml:space="preserve">javascript</t>
  </si>
  <si>
    <t xml:space="preserve">DCM</t>
  </si>
  <si>
    <t xml:space="preserve">Expandable (Automatic)</t>
  </si>
  <si>
    <t xml:space="preserve">Rectangle banner (300x600)</t>
  </si>
  <si>
    <t xml:space="preserve">d9ce91ef-e732-4980-9a62-4a8b6430f3b1</t>
  </si>
  <si>
    <t xml:space="preserve">Sedan</t>
  </si>
  <si>
    <t xml:space="preserve">4</t>
  </si>
  <si>
    <t xml:space="preserve">html</t>
  </si>
  <si>
    <t xml:space="preserve">Adform</t>
  </si>
  <si>
    <t xml:space="preserve">Expandable (User Initiated - Click)</t>
  </si>
  <si>
    <t xml:space="preserve">Square banner(300x250)</t>
  </si>
  <si>
    <t xml:space="preserve">b3bb2b24-5884-11e5-8334-3379b6ba6612</t>
  </si>
  <si>
    <t xml:space="preserve">Station Wagon</t>
  </si>
  <si>
    <t xml:space="preserve">5</t>
  </si>
  <si>
    <t xml:space="preserve">ormma</t>
  </si>
  <si>
    <t xml:space="preserve">Sting</t>
  </si>
  <si>
    <t xml:space="preserve">Expandable (User Initiated - Rollover)</t>
  </si>
  <si>
    <t xml:space="preserve">Banner (320x50)</t>
  </si>
  <si>
    <t xml:space="preserve">b3bb270a-5884-11e5-8333-4f7d54f179bb</t>
  </si>
  <si>
    <t xml:space="preserve">SUV</t>
  </si>
  <si>
    <t xml:space="preserve">6</t>
  </si>
  <si>
    <t xml:space="preserve">In-Banner Video Ad (Auto Play)</t>
  </si>
  <si>
    <t xml:space="preserve">24248c02-b368-4950-9571-058ff4637240</t>
  </si>
  <si>
    <t xml:space="preserve">Van</t>
  </si>
  <si>
    <t xml:space="preserve">7</t>
  </si>
  <si>
    <t xml:space="preserve">In-Banner Video Ad (User Initiated)</t>
  </si>
  <si>
    <t xml:space="preserve">Full screen portrait (320x480)</t>
  </si>
  <si>
    <t xml:space="preserve">b3bb2c14-5884-11e5-8336-f7a99d935cae</t>
  </si>
  <si>
    <t xml:space="preserve">Convertible</t>
  </si>
  <si>
    <t xml:space="preserve">8</t>
  </si>
  <si>
    <t xml:space="preserve">Pop (e.g., Over, Under, or upon Exit)</t>
  </si>
  <si>
    <t xml:space="preserve">Rectangle banner (320x100)</t>
  </si>
  <si>
    <t xml:space="preserve">17aba06c-f2fd-44b1-b629-78955cd6cc50</t>
  </si>
  <si>
    <t xml:space="preserve">Coupe</t>
  </si>
  <si>
    <t xml:space="preserve">9</t>
  </si>
  <si>
    <t xml:space="preserve">Provocative or Suggestive Imagery</t>
  </si>
  <si>
    <t xml:space="preserve">Full screen landscape (480x320)</t>
  </si>
  <si>
    <t xml:space="preserve">b3bb2bc4-5884-11e5-8335-57e65f6c74e4</t>
  </si>
  <si>
    <t xml:space="preserve">Crossover</t>
  </si>
  <si>
    <t xml:space="preserve">10</t>
  </si>
  <si>
    <t xml:space="preserve">Shaky, Flashing, Flickering, Extreme Animation, Smileys</t>
  </si>
  <si>
    <t xml:space="preserve">Skyscraper (120x600)</t>
  </si>
  <si>
    <t xml:space="preserve">b3bb2d0e-5884-11e5-8339-5706740d0ad8</t>
  </si>
  <si>
    <t xml:space="preserve">Hatchback</t>
  </si>
  <si>
    <t xml:space="preserve">11</t>
  </si>
  <si>
    <t xml:space="preserve">Surveys</t>
  </si>
  <si>
    <t xml:space="preserve">Small landscape banner (468x60)</t>
  </si>
  <si>
    <t xml:space="preserve">b3bb2c64-5884-11e5-8337-3732e3294a07</t>
  </si>
  <si>
    <t xml:space="preserve">Microcar</t>
  </si>
  <si>
    <t xml:space="preserve">12</t>
  </si>
  <si>
    <t xml:space="preserve">Text Only</t>
  </si>
  <si>
    <t xml:space="preserve">Banner (728x90)</t>
  </si>
  <si>
    <t xml:space="preserve">b3bb2cb4-5884-11e5-8338-0f49c2f0ae2c</t>
  </si>
  <si>
    <t xml:space="preserve">Minivan</t>
  </si>
  <si>
    <t xml:space="preserve">13</t>
  </si>
  <si>
    <t xml:space="preserve">User Interactive (e.g., Embedded Games)</t>
  </si>
  <si>
    <t xml:space="preserve">Full screen portrait (768x1024)</t>
  </si>
  <si>
    <t xml:space="preserve">b3bb2e30-5884-11e5-833b-23fc3a8ffec3</t>
  </si>
  <si>
    <t xml:space="preserve">Off-Road Vehicles</t>
  </si>
  <si>
    <t xml:space="preserve">14</t>
  </si>
  <si>
    <t xml:space="preserve">Windows Dialog or Alert Style</t>
  </si>
  <si>
    <t xml:space="preserve">Full screen landscape (1024x768)</t>
  </si>
  <si>
    <t xml:space="preserve">b3bb2de0-5884-11e5-833a-df6a96602270</t>
  </si>
  <si>
    <t xml:space="preserve">Pickup Trucks</t>
  </si>
  <si>
    <t xml:space="preserve">15</t>
  </si>
  <si>
    <t xml:space="preserve">Has audio on/off button</t>
  </si>
  <si>
    <t xml:space="preserve">980x600</t>
  </si>
  <si>
    <t xml:space="preserve">62951b21-50d0-4ff9-be12-a5a74ffae1d4</t>
  </si>
  <si>
    <t xml:space="preserve">Auto Type</t>
  </si>
  <si>
    <t xml:space="preserve">16</t>
  </si>
  <si>
    <t xml:space="preserve">Ad can be skipped (e.g., skip button on preroll video)</t>
  </si>
  <si>
    <t xml:space="preserve">980x300</t>
  </si>
  <si>
    <t xml:space="preserve">68dd42b7-7d71-4686-89a4-3c354a75191b</t>
  </si>
  <si>
    <t xml:space="preserve">Budget Cars</t>
  </si>
  <si>
    <t xml:space="preserve">17</t>
  </si>
  <si>
    <t xml:space="preserve">Belly Fat</t>
  </si>
  <si>
    <t xml:space="preserve">580x400</t>
  </si>
  <si>
    <t xml:space="preserve">ce44aac1-7c85-4919-ab4f-9df37113a005</t>
  </si>
  <si>
    <t xml:space="preserve">Certified Pre-Owned Cars</t>
  </si>
  <si>
    <t xml:space="preserve">18</t>
  </si>
  <si>
    <t xml:space="preserve">Dating Ads</t>
  </si>
  <si>
    <t xml:space="preserve">300x600</t>
  </si>
  <si>
    <t xml:space="preserve">Classic Cars</t>
  </si>
  <si>
    <t xml:space="preserve">19</t>
  </si>
  <si>
    <t xml:space="preserve">Deceptive Offers</t>
  </si>
  <si>
    <t xml:space="preserve">320x250</t>
  </si>
  <si>
    <t xml:space="preserve">90895f9e-f9e8-4dcb-bcab-ff30fb3b3da6</t>
  </si>
  <si>
    <t xml:space="preserve">Concept Cars</t>
  </si>
  <si>
    <t xml:space="preserve">20</t>
  </si>
  <si>
    <t xml:space="preserve">Gambling</t>
  </si>
  <si>
    <t xml:space="preserve">320x400</t>
  </si>
  <si>
    <t xml:space="preserve">df6e46a6-886d-422f-b1a2-8fb3b7655da7</t>
  </si>
  <si>
    <t xml:space="preserve">Driverless Cars</t>
  </si>
  <si>
    <t xml:space="preserve">21</t>
  </si>
  <si>
    <t xml:space="preserve">Non Branded Offers</t>
  </si>
  <si>
    <t xml:space="preserve">980x480</t>
  </si>
  <si>
    <t xml:space="preserve">3e1a2e27-261f-4c63-8012-f3921a5c5606</t>
  </si>
  <si>
    <t xml:space="preserve">Green Vehicles</t>
  </si>
  <si>
    <t xml:space="preserve">22</t>
  </si>
  <si>
    <t xml:space="preserve">Political</t>
  </si>
  <si>
    <t xml:space="preserve">640x320 (desktop)</t>
  </si>
  <si>
    <t xml:space="preserve">3bac5ec3-eb4f-446d-b391-8311ccf8a517</t>
  </si>
  <si>
    <t xml:space="preserve">Luxury Cars</t>
  </si>
  <si>
    <t xml:space="preserve">23</t>
  </si>
  <si>
    <t xml:space="preserve">Religious</t>
  </si>
  <si>
    <t xml:space="preserve">930x600</t>
  </si>
  <si>
    <t xml:space="preserve">827497bd-d832-411c-a776-d200a3f87090</t>
  </si>
  <si>
    <t xml:space="preserve">Performance Cars</t>
  </si>
  <si>
    <t xml:space="preserve">24</t>
  </si>
  <si>
    <t xml:space="preserve">Shaky/Flashy</t>
  </si>
  <si>
    <t xml:space="preserve">468x600</t>
  </si>
  <si>
    <t xml:space="preserve">70bcad18-9d8e-4e68-9d15-285d67115a79</t>
  </si>
  <si>
    <t xml:space="preserve">Car Culture</t>
  </si>
  <si>
    <t xml:space="preserve">25</t>
  </si>
  <si>
    <t xml:space="preserve">Skin Care Tricks</t>
  </si>
  <si>
    <t xml:space="preserve">320x320</t>
  </si>
  <si>
    <t xml:space="preserve">ddc75800-a3b3-4b85-abba-85d8a8a29001</t>
  </si>
  <si>
    <t xml:space="preserve">Dash Cam Videos</t>
  </si>
  <si>
    <t xml:space="preserve">26</t>
  </si>
  <si>
    <t xml:space="preserve">Smileys/Cursors</t>
  </si>
  <si>
    <t xml:space="preserve">160x600 (desktop)</t>
  </si>
  <si>
    <t xml:space="preserve">d120b052-e7a6-4f02-8d4a-bc77e4120c47</t>
  </si>
  <si>
    <t xml:space="preserve">Motorcycles</t>
  </si>
  <si>
    <t xml:space="preserve">27</t>
  </si>
  <si>
    <t xml:space="preserve">System Warning/Window Box</t>
  </si>
  <si>
    <t xml:space="preserve">160x600 (smartphone)</t>
  </si>
  <si>
    <t xml:space="preserve">515968b9-24b7-4e06-bcbe-b8798077f242</t>
  </si>
  <si>
    <t xml:space="preserve">Road-Side Assistance</t>
  </si>
  <si>
    <t xml:space="preserve">28</t>
  </si>
  <si>
    <t xml:space="preserve">Teeth Whitening</t>
  </si>
  <si>
    <t xml:space="preserve">180x500</t>
  </si>
  <si>
    <t xml:space="preserve">271d65c0-8bbd-40f6-b7db-5cc0c6fac3da</t>
  </si>
  <si>
    <t xml:space="preserve">Scooters</t>
  </si>
  <si>
    <t xml:space="preserve">29</t>
  </si>
  <si>
    <t xml:space="preserve">930x180</t>
  </si>
  <si>
    <t xml:space="preserve">96430848-20a3-4389-90a0-90430b69ad2d</t>
  </si>
  <si>
    <t xml:space="preserve">Auto Buying and Selling</t>
  </si>
  <si>
    <t xml:space="preserve">30</t>
  </si>
  <si>
    <t xml:space="preserve">980x400</t>
  </si>
  <si>
    <t xml:space="preserve">567cea9c-84ca-49fc-9da6-79a95651f8e2</t>
  </si>
  <si>
    <t xml:space="preserve">Auto Insurance</t>
  </si>
  <si>
    <t xml:space="preserve">31</t>
  </si>
  <si>
    <t xml:space="preserve">600x600</t>
  </si>
  <si>
    <t xml:space="preserve">ef9ab7c4-aacf-400b-9c88-178bc5956b4b</t>
  </si>
  <si>
    <t xml:space="preserve">Auto Parts</t>
  </si>
  <si>
    <t xml:space="preserve">32</t>
  </si>
  <si>
    <t xml:space="preserve">580x500</t>
  </si>
  <si>
    <t xml:space="preserve">a3c819e8-6b38-43a6-acd1-af740c041ffb</t>
  </si>
  <si>
    <t xml:space="preserve">Auto Recalls</t>
  </si>
  <si>
    <t xml:space="preserve">33</t>
  </si>
  <si>
    <t xml:space="preserve">1920x1080 (desktop)</t>
  </si>
  <si>
    <t xml:space="preserve">cfa24164-8339-463d-9571-e7512457b75a</t>
  </si>
  <si>
    <t xml:space="preserve">Auto Repair</t>
  </si>
  <si>
    <t xml:space="preserve">34</t>
  </si>
  <si>
    <t xml:space="preserve">980x552</t>
  </si>
  <si>
    <t xml:space="preserve">42a111ba-d387-4986-9a07-260a606d7168</t>
  </si>
  <si>
    <t xml:space="preserve">Auto Safety</t>
  </si>
  <si>
    <t xml:space="preserve">35</t>
  </si>
  <si>
    <t xml:space="preserve">620x891</t>
  </si>
  <si>
    <t xml:space="preserve">270f9fc7-124b-4ed5-bb1b-d1367575e9f4</t>
  </si>
  <si>
    <t xml:space="preserve">Auto Shows</t>
  </si>
  <si>
    <t xml:space="preserve">36</t>
  </si>
  <si>
    <t xml:space="preserve">300x500</t>
  </si>
  <si>
    <t xml:space="preserve">04d6bc92-36df-4aed-a041-d90b21af39c4</t>
  </si>
  <si>
    <t xml:space="preserve">Auto Technology</t>
  </si>
  <si>
    <t xml:space="preserve">37</t>
  </si>
  <si>
    <t xml:space="preserve">970x250</t>
  </si>
  <si>
    <t xml:space="preserve">5e73da9a-b467-41b1-8165-32fda8879903</t>
  </si>
  <si>
    <t xml:space="preserve">Auto Infotainment Technologies</t>
  </si>
  <si>
    <t xml:space="preserve">38</t>
  </si>
  <si>
    <t xml:space="preserve">Auto Navigation Systems</t>
  </si>
  <si>
    <t xml:space="preserve">39</t>
  </si>
  <si>
    <t xml:space="preserve">Auto Safety Technologies</t>
  </si>
  <si>
    <t xml:space="preserve">40</t>
  </si>
  <si>
    <t xml:space="preserve">Auto Rentals</t>
  </si>
  <si>
    <t xml:space="preserve">41</t>
  </si>
  <si>
    <t xml:space="preserve">Books and Literature</t>
  </si>
  <si>
    <t xml:space="preserve">42</t>
  </si>
  <si>
    <t xml:space="preserve">Art and Photography</t>
  </si>
  <si>
    <t xml:space="preserve">43</t>
  </si>
  <si>
    <t xml:space="preserve">Biographies</t>
  </si>
  <si>
    <t xml:space="preserve">44</t>
  </si>
  <si>
    <t xml:space="preserve">Comics and Graphic Novels</t>
  </si>
  <si>
    <t xml:space="preserve">46</t>
  </si>
  <si>
    <t xml:space="preserve">Fiction</t>
  </si>
  <si>
    <t xml:space="preserve">48</t>
  </si>
  <si>
    <t xml:space="preserve">Poetry</t>
  </si>
  <si>
    <t xml:space="preserve">49</t>
  </si>
  <si>
    <t xml:space="preserve">Young Adult</t>
  </si>
  <si>
    <t xml:space="preserve">51</t>
  </si>
  <si>
    <t xml:space="preserve">Business and Finance</t>
  </si>
  <si>
    <t xml:space="preserve">52</t>
  </si>
  <si>
    <t xml:space="preserve">Business</t>
  </si>
  <si>
    <t xml:space="preserve">53</t>
  </si>
  <si>
    <t xml:space="preserve">Business Accounting &amp; Finance</t>
  </si>
  <si>
    <t xml:space="preserve">54</t>
  </si>
  <si>
    <t xml:space="preserve">Human Resources</t>
  </si>
  <si>
    <t xml:space="preserve">55</t>
  </si>
  <si>
    <t xml:space="preserve">Large Business</t>
  </si>
  <si>
    <t xml:space="preserve">56</t>
  </si>
  <si>
    <t xml:space="preserve">Logistics</t>
  </si>
  <si>
    <t xml:space="preserve">57</t>
  </si>
  <si>
    <t xml:space="preserve">Marketing and Advertising</t>
  </si>
  <si>
    <t xml:space="preserve">58</t>
  </si>
  <si>
    <t xml:space="preserve">Sales</t>
  </si>
  <si>
    <t xml:space="preserve">59</t>
  </si>
  <si>
    <t xml:space="preserve">Small and Medium-sized Business</t>
  </si>
  <si>
    <t xml:space="preserve">60</t>
  </si>
  <si>
    <t xml:space="preserve">Startups</t>
  </si>
  <si>
    <t xml:space="preserve">61</t>
  </si>
  <si>
    <t xml:space="preserve">Business Administration</t>
  </si>
  <si>
    <t xml:space="preserve">62</t>
  </si>
  <si>
    <t xml:space="preserve">Business Banking &amp; Finance</t>
  </si>
  <si>
    <t xml:space="preserve">63</t>
  </si>
  <si>
    <t xml:space="preserve">Angel Investment</t>
  </si>
  <si>
    <t xml:space="preserve">64</t>
  </si>
  <si>
    <t xml:space="preserve">Bankruptcy</t>
  </si>
  <si>
    <t xml:space="preserve">65</t>
  </si>
  <si>
    <t xml:space="preserve">Business Loans</t>
  </si>
  <si>
    <t xml:space="preserve">66</t>
  </si>
  <si>
    <t xml:space="preserve">Debt Factoring &amp; Invoice Discounting</t>
  </si>
  <si>
    <t xml:space="preserve">67</t>
  </si>
  <si>
    <t xml:space="preserve">Mergers and Acquisitions</t>
  </si>
  <si>
    <t xml:space="preserve">68</t>
  </si>
  <si>
    <t xml:space="preserve">Private Equity</t>
  </si>
  <si>
    <t xml:space="preserve">69</t>
  </si>
  <si>
    <t xml:space="preserve">Sale &amp; Lease Back</t>
  </si>
  <si>
    <t xml:space="preserve">70</t>
  </si>
  <si>
    <t xml:space="preserve">Venture Capital</t>
  </si>
  <si>
    <t xml:space="preserve">71</t>
  </si>
  <si>
    <t xml:space="preserve">Business I.T.</t>
  </si>
  <si>
    <t xml:space="preserve">72</t>
  </si>
  <si>
    <t xml:space="preserve">Business Operations</t>
  </si>
  <si>
    <t xml:space="preserve">73</t>
  </si>
  <si>
    <t xml:space="preserve">Consumer Issues</t>
  </si>
  <si>
    <t xml:space="preserve">74</t>
  </si>
  <si>
    <t xml:space="preserve">Recalls</t>
  </si>
  <si>
    <t xml:space="preserve">75</t>
  </si>
  <si>
    <t xml:space="preserve">Executive Leadership &amp; Management</t>
  </si>
  <si>
    <t xml:space="preserve">76</t>
  </si>
  <si>
    <t xml:space="preserve">Government Business</t>
  </si>
  <si>
    <t xml:space="preserve">77</t>
  </si>
  <si>
    <t xml:space="preserve">Green Solutions</t>
  </si>
  <si>
    <t xml:space="preserve">78</t>
  </si>
  <si>
    <t xml:space="preserve">Business Utilities</t>
  </si>
  <si>
    <t xml:space="preserve">79</t>
  </si>
  <si>
    <t xml:space="preserve">Economy</t>
  </si>
  <si>
    <t xml:space="preserve">80</t>
  </si>
  <si>
    <t xml:space="preserve">Commodities</t>
  </si>
  <si>
    <t xml:space="preserve">81</t>
  </si>
  <si>
    <t xml:space="preserve">Currencies</t>
  </si>
  <si>
    <t xml:space="preserve">82</t>
  </si>
  <si>
    <t xml:space="preserve">Financial Crisis</t>
  </si>
  <si>
    <t xml:space="preserve">83</t>
  </si>
  <si>
    <t xml:space="preserve">Financial Reform</t>
  </si>
  <si>
    <t xml:space="preserve">84</t>
  </si>
  <si>
    <t xml:space="preserve">Financial Regulation</t>
  </si>
  <si>
    <t xml:space="preserve">85</t>
  </si>
  <si>
    <t xml:space="preserve">Gasoline Prices</t>
  </si>
  <si>
    <t xml:space="preserve">86</t>
  </si>
  <si>
    <t xml:space="preserve">Housing Market</t>
  </si>
  <si>
    <t xml:space="preserve">87</t>
  </si>
  <si>
    <t xml:space="preserve">Interest Rates</t>
  </si>
  <si>
    <t xml:space="preserve">88</t>
  </si>
  <si>
    <t xml:space="preserve">Job Market</t>
  </si>
  <si>
    <t xml:space="preserve">89</t>
  </si>
  <si>
    <t xml:space="preserve">Industries</t>
  </si>
  <si>
    <t xml:space="preserve">90</t>
  </si>
  <si>
    <t xml:space="preserve">Advertising Industry</t>
  </si>
  <si>
    <t xml:space="preserve">91</t>
  </si>
  <si>
    <t xml:space="preserve">Education industry</t>
  </si>
  <si>
    <t xml:space="preserve">92</t>
  </si>
  <si>
    <t xml:space="preserve">Entertainment Industry</t>
  </si>
  <si>
    <t xml:space="preserve">93</t>
  </si>
  <si>
    <t xml:space="preserve">Environmental Services Industry</t>
  </si>
  <si>
    <t xml:space="preserve">94</t>
  </si>
  <si>
    <t xml:space="preserve">Financial Industry</t>
  </si>
  <si>
    <t xml:space="preserve">95</t>
  </si>
  <si>
    <t xml:space="preserve">Food Industry</t>
  </si>
  <si>
    <t xml:space="preserve">96</t>
  </si>
  <si>
    <t xml:space="preserve">Healthcare Industry</t>
  </si>
  <si>
    <t xml:space="preserve">97</t>
  </si>
  <si>
    <t xml:space="preserve">Hospitality Industry</t>
  </si>
  <si>
    <t xml:space="preserve">98</t>
  </si>
  <si>
    <t xml:space="preserve">Information Services Industry</t>
  </si>
  <si>
    <t xml:space="preserve">99</t>
  </si>
  <si>
    <t xml:space="preserve">Legal Services Industry</t>
  </si>
  <si>
    <t xml:space="preserve">100</t>
  </si>
  <si>
    <t xml:space="preserve">Logistics and Transportation Industry</t>
  </si>
  <si>
    <t xml:space="preserve">101</t>
  </si>
  <si>
    <t xml:space="preserve">Agriculture</t>
  </si>
  <si>
    <t xml:space="preserve">102</t>
  </si>
  <si>
    <t xml:space="preserve">Management Consulting Industry</t>
  </si>
  <si>
    <t xml:space="preserve">103</t>
  </si>
  <si>
    <t xml:space="preserve">Manufacturing Industry</t>
  </si>
  <si>
    <t xml:space="preserve">104</t>
  </si>
  <si>
    <t xml:space="preserve">Mechanical and Industrial Engineering Industry</t>
  </si>
  <si>
    <t xml:space="preserve">105</t>
  </si>
  <si>
    <t xml:space="preserve">Media Industry</t>
  </si>
  <si>
    <t xml:space="preserve">106</t>
  </si>
  <si>
    <t xml:space="preserve">Metals Industry</t>
  </si>
  <si>
    <t xml:space="preserve">107</t>
  </si>
  <si>
    <t xml:space="preserve">Non-Profit Organizations</t>
  </si>
  <si>
    <t xml:space="preserve">108</t>
  </si>
  <si>
    <t xml:space="preserve">Pharmaceutical Industry</t>
  </si>
  <si>
    <t xml:space="preserve">109</t>
  </si>
  <si>
    <t xml:space="preserve">Power and Energy Industry</t>
  </si>
  <si>
    <t xml:space="preserve">110</t>
  </si>
  <si>
    <t xml:space="preserve">Publishing Industry</t>
  </si>
  <si>
    <t xml:space="preserve">111</t>
  </si>
  <si>
    <t xml:space="preserve">Real Estate Industry</t>
  </si>
  <si>
    <t xml:space="preserve">112</t>
  </si>
  <si>
    <t xml:space="preserve">Apparel Industry</t>
  </si>
  <si>
    <t xml:space="preserve">113</t>
  </si>
  <si>
    <t xml:space="preserve">Retail Industry</t>
  </si>
  <si>
    <t xml:space="preserve">114</t>
  </si>
  <si>
    <t xml:space="preserve">Technology Industry</t>
  </si>
  <si>
    <t xml:space="preserve">115</t>
  </si>
  <si>
    <t xml:space="preserve">Telecommunications Industry</t>
  </si>
  <si>
    <t xml:space="preserve">116</t>
  </si>
  <si>
    <t xml:space="preserve">Automotive Industry</t>
  </si>
  <si>
    <t xml:space="preserve">117</t>
  </si>
  <si>
    <t xml:space="preserve">Aviation Industry</t>
  </si>
  <si>
    <t xml:space="preserve">118</t>
  </si>
  <si>
    <t xml:space="preserve">Biotech and Biomedical Industry</t>
  </si>
  <si>
    <t xml:space="preserve">119</t>
  </si>
  <si>
    <t xml:space="preserve">Civil Engineering Industry</t>
  </si>
  <si>
    <t xml:space="preserve">120</t>
  </si>
  <si>
    <t xml:space="preserve">Construction Industry</t>
  </si>
  <si>
    <t xml:space="preserve">121</t>
  </si>
  <si>
    <t xml:space="preserve">Defense Industry</t>
  </si>
  <si>
    <t xml:space="preserve">122</t>
  </si>
  <si>
    <t xml:space="preserve">Careers</t>
  </si>
  <si>
    <t xml:space="preserve">123</t>
  </si>
  <si>
    <t xml:space="preserve">Apprenticeships</t>
  </si>
  <si>
    <t xml:space="preserve">124</t>
  </si>
  <si>
    <t xml:space="preserve">Career Advice</t>
  </si>
  <si>
    <t xml:space="preserve">125</t>
  </si>
  <si>
    <t xml:space="preserve">Career Planning</t>
  </si>
  <si>
    <t xml:space="preserve">126</t>
  </si>
  <si>
    <t xml:space="preserve">Job Search</t>
  </si>
  <si>
    <t xml:space="preserve">127</t>
  </si>
  <si>
    <t xml:space="preserve">Job Fairs</t>
  </si>
  <si>
    <t xml:space="preserve">128</t>
  </si>
  <si>
    <t xml:space="preserve">Resume Writing and Advice</t>
  </si>
  <si>
    <t xml:space="preserve">129</t>
  </si>
  <si>
    <t xml:space="preserve">Remote Working</t>
  </si>
  <si>
    <t xml:space="preserve">130</t>
  </si>
  <si>
    <t xml:space="preserve">Vocational Training</t>
  </si>
  <si>
    <t xml:space="preserve">131</t>
  </si>
  <si>
    <t xml:space="preserve">Education</t>
  </si>
  <si>
    <t xml:space="preserve">132</t>
  </si>
  <si>
    <t xml:space="preserve">Adult Education</t>
  </si>
  <si>
    <t xml:space="preserve">133</t>
  </si>
  <si>
    <t xml:space="preserve">Private School</t>
  </si>
  <si>
    <t xml:space="preserve">134</t>
  </si>
  <si>
    <t xml:space="preserve">Secondary Education</t>
  </si>
  <si>
    <t xml:space="preserve">135</t>
  </si>
  <si>
    <t xml:space="preserve">Special Education</t>
  </si>
  <si>
    <t xml:space="preserve">136</t>
  </si>
  <si>
    <t xml:space="preserve">College Education</t>
  </si>
  <si>
    <t xml:space="preserve">137</t>
  </si>
  <si>
    <t xml:space="preserve">College Planning</t>
  </si>
  <si>
    <t xml:space="preserve">138</t>
  </si>
  <si>
    <t xml:space="preserve">Postgraduate Education</t>
  </si>
  <si>
    <t xml:space="preserve">139</t>
  </si>
  <si>
    <t xml:space="preserve">Professional School</t>
  </si>
  <si>
    <t xml:space="preserve">140</t>
  </si>
  <si>
    <t xml:space="preserve">Undergraduate Education</t>
  </si>
  <si>
    <t xml:space="preserve">141</t>
  </si>
  <si>
    <t xml:space="preserve">Early Childhood Education</t>
  </si>
  <si>
    <t xml:space="preserve">142</t>
  </si>
  <si>
    <t xml:space="preserve">Educational Assessment</t>
  </si>
  <si>
    <t xml:space="preserve">143</t>
  </si>
  <si>
    <t xml:space="preserve">Standardized Testing</t>
  </si>
  <si>
    <t xml:space="preserve">144</t>
  </si>
  <si>
    <t xml:space="preserve">Homeschooling</t>
  </si>
  <si>
    <t xml:space="preserve">145</t>
  </si>
  <si>
    <t xml:space="preserve">Homework and Study</t>
  </si>
  <si>
    <t xml:space="preserve">146</t>
  </si>
  <si>
    <t xml:space="preserve">Language Learning</t>
  </si>
  <si>
    <t xml:space="preserve">147</t>
  </si>
  <si>
    <t xml:space="preserve">Online Education</t>
  </si>
  <si>
    <t xml:space="preserve">148</t>
  </si>
  <si>
    <t xml:space="preserve">Primary Education</t>
  </si>
  <si>
    <t xml:space="preserve">149</t>
  </si>
  <si>
    <t xml:space="preserve">Attractions</t>
  </si>
  <si>
    <t xml:space="preserve">150</t>
  </si>
  <si>
    <t xml:space="preserve">Amusement and Theme Parks</t>
  </si>
  <si>
    <t xml:space="preserve">151</t>
  </si>
  <si>
    <t xml:space="preserve">Historic Site and Landmark Tours</t>
  </si>
  <si>
    <t xml:space="preserve">153</t>
  </si>
  <si>
    <t xml:space="preserve">Malls &amp; Shopping Centers</t>
  </si>
  <si>
    <t xml:space="preserve">154</t>
  </si>
  <si>
    <t xml:space="preserve">Museums &amp; Galleries</t>
  </si>
  <si>
    <t xml:space="preserve">155</t>
  </si>
  <si>
    <t xml:space="preserve">Musical</t>
  </si>
  <si>
    <t xml:space="preserve">156</t>
  </si>
  <si>
    <t xml:space="preserve">National &amp; Civic Holidays</t>
  </si>
  <si>
    <t xml:space="preserve">157</t>
  </si>
  <si>
    <t xml:space="preserve">Nightclubs</t>
  </si>
  <si>
    <t xml:space="preserve">158</t>
  </si>
  <si>
    <t xml:space="preserve">Outdoor Activities</t>
  </si>
  <si>
    <t xml:space="preserve">159</t>
  </si>
  <si>
    <t xml:space="preserve">Parks &amp; Nature</t>
  </si>
  <si>
    <t xml:space="preserve">160</t>
  </si>
  <si>
    <t xml:space="preserve">Party Supplies and Decorations</t>
  </si>
  <si>
    <t xml:space="preserve">161</t>
  </si>
  <si>
    <t xml:space="preserve">Awards Shows</t>
  </si>
  <si>
    <t xml:space="preserve">162</t>
  </si>
  <si>
    <t xml:space="preserve">Personal Celebrations &amp; Life Events</t>
  </si>
  <si>
    <t xml:space="preserve">163</t>
  </si>
  <si>
    <t xml:space="preserve">Anniversary</t>
  </si>
  <si>
    <t xml:space="preserve">164</t>
  </si>
  <si>
    <t xml:space="preserve">Wedding</t>
  </si>
  <si>
    <t xml:space="preserve">165</t>
  </si>
  <si>
    <t xml:space="preserve">Baby Shower</t>
  </si>
  <si>
    <t xml:space="preserve">166</t>
  </si>
  <si>
    <t xml:space="preserve">Bachelor Party</t>
  </si>
  <si>
    <t xml:space="preserve">167</t>
  </si>
  <si>
    <t xml:space="preserve">Bachelorette Party</t>
  </si>
  <si>
    <t xml:space="preserve">168</t>
  </si>
  <si>
    <t xml:space="preserve">Birth</t>
  </si>
  <si>
    <t xml:space="preserve">169</t>
  </si>
  <si>
    <t xml:space="preserve">Birthday</t>
  </si>
  <si>
    <t xml:space="preserve">170</t>
  </si>
  <si>
    <t xml:space="preserve">Funeral</t>
  </si>
  <si>
    <t xml:space="preserve">171</t>
  </si>
  <si>
    <t xml:space="preserve">Graduation</t>
  </si>
  <si>
    <t xml:space="preserve">172</t>
  </si>
  <si>
    <t xml:space="preserve">Prom</t>
  </si>
  <si>
    <t xml:space="preserve">173</t>
  </si>
  <si>
    <t xml:space="preserve">Theater Venues</t>
  </si>
  <si>
    <t xml:space="preserve">177</t>
  </si>
  <si>
    <t xml:space="preserve">Zoos &amp; Aquariums</t>
  </si>
  <si>
    <t xml:space="preserve">178</t>
  </si>
  <si>
    <t xml:space="preserve">Bars &amp; Restaurants</t>
  </si>
  <si>
    <t xml:space="preserve">179</t>
  </si>
  <si>
    <t xml:space="preserve">Business Expos &amp; Conferences</t>
  </si>
  <si>
    <t xml:space="preserve">180</t>
  </si>
  <si>
    <t xml:space="preserve">Casinos &amp; Gambling</t>
  </si>
  <si>
    <t xml:space="preserve">181</t>
  </si>
  <si>
    <t xml:space="preserve">Fan Conventions</t>
  </si>
  <si>
    <t xml:space="preserve">185</t>
  </si>
  <si>
    <t xml:space="preserve">Family and Relationships</t>
  </si>
  <si>
    <t xml:space="preserve">186</t>
  </si>
  <si>
    <t xml:space="preserve">Bereavement</t>
  </si>
  <si>
    <t xml:space="preserve">187</t>
  </si>
  <si>
    <t xml:space="preserve">Dating</t>
  </si>
  <si>
    <t xml:space="preserve">188</t>
  </si>
  <si>
    <t xml:space="preserve">Divorce</t>
  </si>
  <si>
    <t xml:space="preserve">189</t>
  </si>
  <si>
    <t xml:space="preserve">Eldercare</t>
  </si>
  <si>
    <t xml:space="preserve">190</t>
  </si>
  <si>
    <t xml:space="preserve">Marriage and Civil Unions</t>
  </si>
  <si>
    <t xml:space="preserve">191</t>
  </si>
  <si>
    <t xml:space="preserve">Parenting</t>
  </si>
  <si>
    <t xml:space="preserve">192</t>
  </si>
  <si>
    <t xml:space="preserve">Adoption and Fostering</t>
  </si>
  <si>
    <t xml:space="preserve">193</t>
  </si>
  <si>
    <t xml:space="preserve">Daycare and Pre-School</t>
  </si>
  <si>
    <t xml:space="preserve">194</t>
  </si>
  <si>
    <t xml:space="preserve">Internet Safety</t>
  </si>
  <si>
    <t xml:space="preserve">195</t>
  </si>
  <si>
    <t xml:space="preserve">Parenting Babies and Toddlers</t>
  </si>
  <si>
    <t xml:space="preserve">196</t>
  </si>
  <si>
    <t xml:space="preserve">Parenting Children Aged 4-11</t>
  </si>
  <si>
    <t xml:space="preserve">197</t>
  </si>
  <si>
    <t xml:space="preserve">Parenting Teens</t>
  </si>
  <si>
    <t xml:space="preserve">198</t>
  </si>
  <si>
    <t xml:space="preserve">Special Needs Kids</t>
  </si>
  <si>
    <t xml:space="preserve">199</t>
  </si>
  <si>
    <t xml:space="preserve">Single Life</t>
  </si>
  <si>
    <t xml:space="preserve">200</t>
  </si>
  <si>
    <t xml:space="preserve">Fine Art</t>
  </si>
  <si>
    <t xml:space="preserve">201</t>
  </si>
  <si>
    <t xml:space="preserve">Costume</t>
  </si>
  <si>
    <t xml:space="preserve">202</t>
  </si>
  <si>
    <t xml:space="preserve">Dance</t>
  </si>
  <si>
    <t xml:space="preserve">203</t>
  </si>
  <si>
    <t xml:space="preserve">Design</t>
  </si>
  <si>
    <t xml:space="preserve">204</t>
  </si>
  <si>
    <t xml:space="preserve">Digital Arts</t>
  </si>
  <si>
    <t xml:space="preserve">205</t>
  </si>
  <si>
    <t xml:space="preserve">Fine Art Photography</t>
  </si>
  <si>
    <t xml:space="preserve">206</t>
  </si>
  <si>
    <t xml:space="preserve">Modern Art</t>
  </si>
  <si>
    <t xml:space="preserve">207</t>
  </si>
  <si>
    <t xml:space="preserve">Opera</t>
  </si>
  <si>
    <t xml:space="preserve">208</t>
  </si>
  <si>
    <t xml:space="preserve">Theater</t>
  </si>
  <si>
    <t xml:space="preserve">209</t>
  </si>
  <si>
    <t xml:space="preserve">Food &amp; Drink</t>
  </si>
  <si>
    <t xml:space="preserve">210</t>
  </si>
  <si>
    <t xml:space="preserve">Alcoholic Beverages</t>
  </si>
  <si>
    <t xml:space="preserve">211</t>
  </si>
  <si>
    <t xml:space="preserve">Vegan Diets</t>
  </si>
  <si>
    <t xml:space="preserve">212</t>
  </si>
  <si>
    <t xml:space="preserve">Vegetarian Diets</t>
  </si>
  <si>
    <t xml:space="preserve">213</t>
  </si>
  <si>
    <t xml:space="preserve">World Cuisines</t>
  </si>
  <si>
    <t xml:space="preserve">214</t>
  </si>
  <si>
    <t xml:space="preserve">Barbecues and Grilling</t>
  </si>
  <si>
    <t xml:space="preserve">215</t>
  </si>
  <si>
    <t xml:space="preserve">Cooking</t>
  </si>
  <si>
    <t xml:space="preserve">216</t>
  </si>
  <si>
    <t xml:space="preserve">Desserts and Baking</t>
  </si>
  <si>
    <t xml:space="preserve">217</t>
  </si>
  <si>
    <t xml:space="preserve">Dining Out</t>
  </si>
  <si>
    <t xml:space="preserve">218</t>
  </si>
  <si>
    <t xml:space="preserve">Food Allergies</t>
  </si>
  <si>
    <t xml:space="preserve">219</t>
  </si>
  <si>
    <t xml:space="preserve">Food Movements</t>
  </si>
  <si>
    <t xml:space="preserve">220</t>
  </si>
  <si>
    <t xml:space="preserve">Healthy Cooking and Eating</t>
  </si>
  <si>
    <t xml:space="preserve">221</t>
  </si>
  <si>
    <t xml:space="preserve">Non-Alcoholic Beverages</t>
  </si>
  <si>
    <t xml:space="preserve">222</t>
  </si>
  <si>
    <t xml:space="preserve">Healthy Living</t>
  </si>
  <si>
    <t xml:space="preserve">223</t>
  </si>
  <si>
    <t xml:space="preserve">Children's Health</t>
  </si>
  <si>
    <t xml:space="preserve">224</t>
  </si>
  <si>
    <t xml:space="preserve">Fitness and Exercise</t>
  </si>
  <si>
    <t xml:space="preserve">225</t>
  </si>
  <si>
    <t xml:space="preserve">Participant Sports</t>
  </si>
  <si>
    <t xml:space="preserve">226</t>
  </si>
  <si>
    <t xml:space="preserve">Running and Jogging</t>
  </si>
  <si>
    <t xml:space="preserve">227</t>
  </si>
  <si>
    <t xml:space="preserve">Men's Health</t>
  </si>
  <si>
    <t xml:space="preserve">228</t>
  </si>
  <si>
    <t xml:space="preserve">Nutrition</t>
  </si>
  <si>
    <t xml:space="preserve">229</t>
  </si>
  <si>
    <t xml:space="preserve">Senior Health</t>
  </si>
  <si>
    <t xml:space="preserve">230</t>
  </si>
  <si>
    <t xml:space="preserve">Weight Loss</t>
  </si>
  <si>
    <t xml:space="preserve">231</t>
  </si>
  <si>
    <t xml:space="preserve">Wellness</t>
  </si>
  <si>
    <t xml:space="preserve">232</t>
  </si>
  <si>
    <t xml:space="preserve">Alternative Medicine</t>
  </si>
  <si>
    <t xml:space="preserve">233</t>
  </si>
  <si>
    <t xml:space="preserve">Herbs and Supplements</t>
  </si>
  <si>
    <t xml:space="preserve">234</t>
  </si>
  <si>
    <t xml:space="preserve">Holistic Health</t>
  </si>
  <si>
    <t xml:space="preserve">235</t>
  </si>
  <si>
    <t xml:space="preserve">Physical Therapy</t>
  </si>
  <si>
    <t xml:space="preserve">236</t>
  </si>
  <si>
    <t xml:space="preserve">Smoking Cessation</t>
  </si>
  <si>
    <t xml:space="preserve">237</t>
  </si>
  <si>
    <t xml:space="preserve">Women's Health</t>
  </si>
  <si>
    <t xml:space="preserve">238</t>
  </si>
  <si>
    <t xml:space="preserve">Hobbies &amp; Interests</t>
  </si>
  <si>
    <t xml:space="preserve">239</t>
  </si>
  <si>
    <t xml:space="preserve">Antiquing and Antiques</t>
  </si>
  <si>
    <t xml:space="preserve">240</t>
  </si>
  <si>
    <t xml:space="preserve">Magic and Illusion</t>
  </si>
  <si>
    <t xml:space="preserve">241</t>
  </si>
  <si>
    <t xml:space="preserve">Model Toys</t>
  </si>
  <si>
    <t xml:space="preserve">242</t>
  </si>
  <si>
    <t xml:space="preserve">Musical Instruments</t>
  </si>
  <si>
    <t xml:space="preserve">243</t>
  </si>
  <si>
    <t xml:space="preserve">Paranormal Phenomena</t>
  </si>
  <si>
    <t xml:space="preserve">244</t>
  </si>
  <si>
    <t xml:space="preserve">Radio Control</t>
  </si>
  <si>
    <t xml:space="preserve">245</t>
  </si>
  <si>
    <t xml:space="preserve">Sci-fi and Fantasy</t>
  </si>
  <si>
    <t xml:space="preserve">246</t>
  </si>
  <si>
    <t xml:space="preserve">Workshops and Classes</t>
  </si>
  <si>
    <t xml:space="preserve">247</t>
  </si>
  <si>
    <t xml:space="preserve">Arts and Crafts</t>
  </si>
  <si>
    <t xml:space="preserve">248</t>
  </si>
  <si>
    <t xml:space="preserve">Beadwork</t>
  </si>
  <si>
    <t xml:space="preserve">249</t>
  </si>
  <si>
    <t xml:space="preserve">Candle and Soap Making</t>
  </si>
  <si>
    <t xml:space="preserve">250</t>
  </si>
  <si>
    <t xml:space="preserve">Drawing and Sketching</t>
  </si>
  <si>
    <t xml:space="preserve">251</t>
  </si>
  <si>
    <t xml:space="preserve">Jewelry Making</t>
  </si>
  <si>
    <t xml:space="preserve">252</t>
  </si>
  <si>
    <t xml:space="preserve">Needlework</t>
  </si>
  <si>
    <t xml:space="preserve">253</t>
  </si>
  <si>
    <t xml:space="preserve">Painting</t>
  </si>
  <si>
    <t xml:space="preserve">254</t>
  </si>
  <si>
    <t xml:space="preserve">Photography</t>
  </si>
  <si>
    <t xml:space="preserve">255</t>
  </si>
  <si>
    <t xml:space="preserve">Scrapbooking</t>
  </si>
  <si>
    <t xml:space="preserve">256</t>
  </si>
  <si>
    <t xml:space="preserve">Woodworking</t>
  </si>
  <si>
    <t xml:space="preserve">257</t>
  </si>
  <si>
    <t xml:space="preserve">Beekeeping</t>
  </si>
  <si>
    <t xml:space="preserve">258</t>
  </si>
  <si>
    <t xml:space="preserve">Birdwatching</t>
  </si>
  <si>
    <t xml:space="preserve">259</t>
  </si>
  <si>
    <t xml:space="preserve">Cigars</t>
  </si>
  <si>
    <t xml:space="preserve">260</t>
  </si>
  <si>
    <t xml:space="preserve">Collecting</t>
  </si>
  <si>
    <t xml:space="preserve">261</t>
  </si>
  <si>
    <t xml:space="preserve">Comic Books</t>
  </si>
  <si>
    <t xml:space="preserve">262</t>
  </si>
  <si>
    <t xml:space="preserve">Stamps and Coins</t>
  </si>
  <si>
    <t xml:space="preserve">263</t>
  </si>
  <si>
    <t xml:space="preserve">Content Production</t>
  </si>
  <si>
    <t xml:space="preserve">264</t>
  </si>
  <si>
    <t xml:space="preserve">Audio Production</t>
  </si>
  <si>
    <t xml:space="preserve">265</t>
  </si>
  <si>
    <t xml:space="preserve">Freelance Writing</t>
  </si>
  <si>
    <t xml:space="preserve">266</t>
  </si>
  <si>
    <t xml:space="preserve">Screenwriting</t>
  </si>
  <si>
    <t xml:space="preserve">267</t>
  </si>
  <si>
    <t xml:space="preserve">Video Production</t>
  </si>
  <si>
    <t xml:space="preserve">268</t>
  </si>
  <si>
    <t xml:space="preserve">Games and Puzzles</t>
  </si>
  <si>
    <t xml:space="preserve">269</t>
  </si>
  <si>
    <t xml:space="preserve">Board Games and Puzzles</t>
  </si>
  <si>
    <t xml:space="preserve">270</t>
  </si>
  <si>
    <t xml:space="preserve">Card Games</t>
  </si>
  <si>
    <t xml:space="preserve">271</t>
  </si>
  <si>
    <t xml:space="preserve">Roleplaying Games</t>
  </si>
  <si>
    <t xml:space="preserve">272</t>
  </si>
  <si>
    <t xml:space="preserve">Genealogy and Ancestry</t>
  </si>
  <si>
    <t xml:space="preserve">273</t>
  </si>
  <si>
    <t xml:space="preserve">Home &amp; Garden</t>
  </si>
  <si>
    <t xml:space="preserve">274</t>
  </si>
  <si>
    <t xml:space="preserve">Gardening</t>
  </si>
  <si>
    <t xml:space="preserve">275</t>
  </si>
  <si>
    <t xml:space="preserve">Remodeling &amp; Construction</t>
  </si>
  <si>
    <t xml:space="preserve">276</t>
  </si>
  <si>
    <t xml:space="preserve">Smart Home</t>
  </si>
  <si>
    <t xml:space="preserve">277</t>
  </si>
  <si>
    <t xml:space="preserve">Home Appliances</t>
  </si>
  <si>
    <t xml:space="preserve">278</t>
  </si>
  <si>
    <t xml:space="preserve">Home Entertaining</t>
  </si>
  <si>
    <t xml:space="preserve">279</t>
  </si>
  <si>
    <t xml:space="preserve">Home Improvement</t>
  </si>
  <si>
    <t xml:space="preserve">280</t>
  </si>
  <si>
    <t xml:space="preserve">Home Security</t>
  </si>
  <si>
    <t xml:space="preserve">281</t>
  </si>
  <si>
    <t xml:space="preserve">Indoor Environmental Quality</t>
  </si>
  <si>
    <t xml:space="preserve">282</t>
  </si>
  <si>
    <t xml:space="preserve">Interior Decorating</t>
  </si>
  <si>
    <t xml:space="preserve">283</t>
  </si>
  <si>
    <t xml:space="preserve">Landscaping</t>
  </si>
  <si>
    <t xml:space="preserve">284</t>
  </si>
  <si>
    <t xml:space="preserve">Outdoor Decorating</t>
  </si>
  <si>
    <t xml:space="preserve">285</t>
  </si>
  <si>
    <t xml:space="preserve">Medical Health</t>
  </si>
  <si>
    <t xml:space="preserve">286</t>
  </si>
  <si>
    <t xml:space="preserve">Diseases and Conditions</t>
  </si>
  <si>
    <t xml:space="preserve">287</t>
  </si>
  <si>
    <t xml:space="preserve">Allergies</t>
  </si>
  <si>
    <t xml:space="preserve">288</t>
  </si>
  <si>
    <t xml:space="preserve">Ear, Nose and Throat Conditions</t>
  </si>
  <si>
    <t xml:space="preserve">289</t>
  </si>
  <si>
    <t xml:space="preserve">Endocrine and Metabolic Diseases</t>
  </si>
  <si>
    <t xml:space="preserve">290</t>
  </si>
  <si>
    <t xml:space="preserve">Hormonal Disorders</t>
  </si>
  <si>
    <t xml:space="preserve">291</t>
  </si>
  <si>
    <t xml:space="preserve">Menopause</t>
  </si>
  <si>
    <t xml:space="preserve">292</t>
  </si>
  <si>
    <t xml:space="preserve">Thyroid Disorders</t>
  </si>
  <si>
    <t xml:space="preserve">293</t>
  </si>
  <si>
    <t xml:space="preserve">Eye and Vision Conditions</t>
  </si>
  <si>
    <t xml:space="preserve">294</t>
  </si>
  <si>
    <t xml:space="preserve">Foot Health</t>
  </si>
  <si>
    <t xml:space="preserve">295</t>
  </si>
  <si>
    <t xml:space="preserve">Heart and Cardiovascular Diseases</t>
  </si>
  <si>
    <t xml:space="preserve">296</t>
  </si>
  <si>
    <t xml:space="preserve">Infectious Diseases</t>
  </si>
  <si>
    <t xml:space="preserve">297</t>
  </si>
  <si>
    <t xml:space="preserve">Injuries</t>
  </si>
  <si>
    <t xml:space="preserve">298</t>
  </si>
  <si>
    <t xml:space="preserve">First Aid</t>
  </si>
  <si>
    <t xml:space="preserve">299</t>
  </si>
  <si>
    <t xml:space="preserve">Lung and Respiratory Health</t>
  </si>
  <si>
    <t xml:space="preserve">300</t>
  </si>
  <si>
    <t xml:space="preserve">Mental Health</t>
  </si>
  <si>
    <t xml:space="preserve">301</t>
  </si>
  <si>
    <t xml:space="preserve">Reproductive Health</t>
  </si>
  <si>
    <t xml:space="preserve">302</t>
  </si>
  <si>
    <t xml:space="preserve">Birth Control</t>
  </si>
  <si>
    <t xml:space="preserve">303</t>
  </si>
  <si>
    <t xml:space="preserve">Infertility</t>
  </si>
  <si>
    <t xml:space="preserve">304</t>
  </si>
  <si>
    <t xml:space="preserve">Pregnancy</t>
  </si>
  <si>
    <t xml:space="preserve">305</t>
  </si>
  <si>
    <t xml:space="preserve">Blood Disorders</t>
  </si>
  <si>
    <t xml:space="preserve">306</t>
  </si>
  <si>
    <t xml:space="preserve">Sexual Health</t>
  </si>
  <si>
    <t xml:space="preserve">307</t>
  </si>
  <si>
    <t xml:space="preserve">Sexual Conditions</t>
  </si>
  <si>
    <t xml:space="preserve">308</t>
  </si>
  <si>
    <t xml:space="preserve">Skin and Dermatology</t>
  </si>
  <si>
    <t xml:space="preserve">309</t>
  </si>
  <si>
    <t xml:space="preserve">Sleep Disorders</t>
  </si>
  <si>
    <t xml:space="preserve">310</t>
  </si>
  <si>
    <t xml:space="preserve">Substance Abuse</t>
  </si>
  <si>
    <t xml:space="preserve">311</t>
  </si>
  <si>
    <t xml:space="preserve">Bone and Joint Conditions</t>
  </si>
  <si>
    <t xml:space="preserve">312</t>
  </si>
  <si>
    <t xml:space="preserve">Brain and Nervous System Disorders</t>
  </si>
  <si>
    <t xml:space="preserve">313</t>
  </si>
  <si>
    <t xml:space="preserve">Cancer</t>
  </si>
  <si>
    <t xml:space="preserve">314</t>
  </si>
  <si>
    <t xml:space="preserve">Cold and Flu</t>
  </si>
  <si>
    <t xml:space="preserve">315</t>
  </si>
  <si>
    <t xml:space="preserve">Dental Health</t>
  </si>
  <si>
    <t xml:space="preserve">316</t>
  </si>
  <si>
    <t xml:space="preserve">Diabetes</t>
  </si>
  <si>
    <t xml:space="preserve">317</t>
  </si>
  <si>
    <t xml:space="preserve">Digestive Disorders</t>
  </si>
  <si>
    <t xml:space="preserve">318</t>
  </si>
  <si>
    <t xml:space="preserve">Medical Tests</t>
  </si>
  <si>
    <t xml:space="preserve">319</t>
  </si>
  <si>
    <t xml:space="preserve">Pharmaceutical Drugs</t>
  </si>
  <si>
    <t xml:space="preserve">320</t>
  </si>
  <si>
    <t xml:space="preserve">Surgery</t>
  </si>
  <si>
    <t xml:space="preserve">321</t>
  </si>
  <si>
    <t xml:space="preserve">Vaccines</t>
  </si>
  <si>
    <t xml:space="preserve">322</t>
  </si>
  <si>
    <t xml:space="preserve">Cosmetic Medical Services</t>
  </si>
  <si>
    <t xml:space="preserve">323</t>
  </si>
  <si>
    <t xml:space="preserve">Movies</t>
  </si>
  <si>
    <t xml:space="preserve">324</t>
  </si>
  <si>
    <t xml:space="preserve">Action/Adventure</t>
  </si>
  <si>
    <t xml:space="preserve">325</t>
  </si>
  <si>
    <t xml:space="preserve">Romance</t>
  </si>
  <si>
    <t xml:space="preserve">326</t>
  </si>
  <si>
    <t xml:space="preserve">Mystery</t>
  </si>
  <si>
    <t xml:space="preserve">331</t>
  </si>
  <si>
    <t xml:space="preserve">Documentary</t>
  </si>
  <si>
    <t xml:space="preserve">332</t>
  </si>
  <si>
    <t xml:space="preserve">Fantasy</t>
  </si>
  <si>
    <t xml:space="preserve">335</t>
  </si>
  <si>
    <t xml:space="preserve">Horror</t>
  </si>
  <si>
    <t xml:space="preserve">336</t>
  </si>
  <si>
    <t xml:space="preserve">Music</t>
  </si>
  <si>
    <t xml:space="preserve">338</t>
  </si>
  <si>
    <t xml:space="preserve">Adult Contemporary Music</t>
  </si>
  <si>
    <t xml:space="preserve">339</t>
  </si>
  <si>
    <t xml:space="preserve">Soft AC Music</t>
  </si>
  <si>
    <t xml:space="preserve">340</t>
  </si>
  <si>
    <t xml:space="preserve">Urban AC Music</t>
  </si>
  <si>
    <t xml:space="preserve">341</t>
  </si>
  <si>
    <t xml:space="preserve">Adult Album Alternative</t>
  </si>
  <si>
    <t xml:space="preserve">342</t>
  </si>
  <si>
    <t xml:space="preserve">Alternative Music</t>
  </si>
  <si>
    <t xml:space="preserve">343</t>
  </si>
  <si>
    <t xml:space="preserve">Children's Music</t>
  </si>
  <si>
    <t xml:space="preserve">344</t>
  </si>
  <si>
    <t xml:space="preserve">Classic Hits</t>
  </si>
  <si>
    <t xml:space="preserve">345</t>
  </si>
  <si>
    <t xml:space="preserve">Classical Music</t>
  </si>
  <si>
    <t xml:space="preserve">346</t>
  </si>
  <si>
    <t xml:space="preserve">College Radio</t>
  </si>
  <si>
    <t xml:space="preserve">347</t>
  </si>
  <si>
    <t xml:space="preserve">Comedy (Music and Audio)</t>
  </si>
  <si>
    <t xml:space="preserve">348</t>
  </si>
  <si>
    <t xml:space="preserve">Contemporary Hits/Pop/Top 40</t>
  </si>
  <si>
    <t xml:space="preserve">349</t>
  </si>
  <si>
    <t xml:space="preserve">Country Music</t>
  </si>
  <si>
    <t xml:space="preserve">350</t>
  </si>
  <si>
    <t xml:space="preserve">Dance and Electronic Music</t>
  </si>
  <si>
    <t xml:space="preserve">351</t>
  </si>
  <si>
    <t xml:space="preserve">World/International Music</t>
  </si>
  <si>
    <t xml:space="preserve">352</t>
  </si>
  <si>
    <t xml:space="preserve">Songwriters/Folk</t>
  </si>
  <si>
    <t xml:space="preserve">353</t>
  </si>
  <si>
    <t xml:space="preserve">Gospel Music</t>
  </si>
  <si>
    <t xml:space="preserve">354</t>
  </si>
  <si>
    <t xml:space="preserve">Hip Hop Music</t>
  </si>
  <si>
    <t xml:space="preserve">355</t>
  </si>
  <si>
    <t xml:space="preserve">Inspirational/New Age Music</t>
  </si>
  <si>
    <t xml:space="preserve">356</t>
  </si>
  <si>
    <t xml:space="preserve">Jazz</t>
  </si>
  <si>
    <t xml:space="preserve">357</t>
  </si>
  <si>
    <t xml:space="preserve">Oldies/Adult Standards</t>
  </si>
  <si>
    <t xml:space="preserve">358</t>
  </si>
  <si>
    <t xml:space="preserve">Reggae</t>
  </si>
  <si>
    <t xml:space="preserve">359</t>
  </si>
  <si>
    <t xml:space="preserve">Blues</t>
  </si>
  <si>
    <t xml:space="preserve">360</t>
  </si>
  <si>
    <t xml:space="preserve">Religious (Music and Audio)</t>
  </si>
  <si>
    <t xml:space="preserve">361</t>
  </si>
  <si>
    <t xml:space="preserve">R&amp;B/Soul/Funk</t>
  </si>
  <si>
    <t xml:space="preserve">362</t>
  </si>
  <si>
    <t xml:space="preserve">Rock Music</t>
  </si>
  <si>
    <t xml:space="preserve">363</t>
  </si>
  <si>
    <t xml:space="preserve">Album-oriented Rock</t>
  </si>
  <si>
    <t xml:space="preserve">364</t>
  </si>
  <si>
    <t xml:space="preserve">Alternative Rock</t>
  </si>
  <si>
    <t xml:space="preserve">365</t>
  </si>
  <si>
    <t xml:space="preserve">Classic Rock</t>
  </si>
  <si>
    <t xml:space="preserve">366</t>
  </si>
  <si>
    <t xml:space="preserve">Hard Rock</t>
  </si>
  <si>
    <t xml:space="preserve">367</t>
  </si>
  <si>
    <t xml:space="preserve">Soft Rock</t>
  </si>
  <si>
    <t xml:space="preserve">368</t>
  </si>
  <si>
    <t xml:space="preserve">Soundtracks, TV and Showtunes</t>
  </si>
  <si>
    <t xml:space="preserve">369</t>
  </si>
  <si>
    <t xml:space="preserve">Sports Radio</t>
  </si>
  <si>
    <t xml:space="preserve">370</t>
  </si>
  <si>
    <t xml:space="preserve">Talk Radio</t>
  </si>
  <si>
    <t xml:space="preserve">371</t>
  </si>
  <si>
    <t xml:space="preserve">Public Radio</t>
  </si>
  <si>
    <t xml:space="preserve">376</t>
  </si>
  <si>
    <t xml:space="preserve">Urban Contemporary Music</t>
  </si>
  <si>
    <t xml:space="preserve">377</t>
  </si>
  <si>
    <t xml:space="preserve">Variety (Music and Audio)</t>
  </si>
  <si>
    <t xml:space="preserve">378</t>
  </si>
  <si>
    <t xml:space="preserve">Crime</t>
  </si>
  <si>
    <t xml:space="preserve">380</t>
  </si>
  <si>
    <t xml:space="preserve">Disasters</t>
  </si>
  <si>
    <t xml:space="preserve">381</t>
  </si>
  <si>
    <t xml:space="preserve">Law</t>
  </si>
  <si>
    <t xml:space="preserve">383</t>
  </si>
  <si>
    <t xml:space="preserve">Politics</t>
  </si>
  <si>
    <t xml:space="preserve">386</t>
  </si>
  <si>
    <t xml:space="preserve">Elections</t>
  </si>
  <si>
    <t xml:space="preserve">387</t>
  </si>
  <si>
    <t xml:space="preserve">Political Issues &amp; Policy</t>
  </si>
  <si>
    <t xml:space="preserve">388</t>
  </si>
  <si>
    <t xml:space="preserve">War and Conflicts</t>
  </si>
  <si>
    <t xml:space="preserve">389</t>
  </si>
  <si>
    <t xml:space="preserve">Weather</t>
  </si>
  <si>
    <t xml:space="preserve">390</t>
  </si>
  <si>
    <t xml:space="preserve">Personal Finance</t>
  </si>
  <si>
    <t xml:space="preserve">391</t>
  </si>
  <si>
    <t xml:space="preserve">Consumer Banking</t>
  </si>
  <si>
    <t xml:space="preserve">392</t>
  </si>
  <si>
    <t xml:space="preserve">Financial Assistance</t>
  </si>
  <si>
    <t xml:space="preserve">393</t>
  </si>
  <si>
    <t xml:space="preserve">Government Support and Welfare</t>
  </si>
  <si>
    <t xml:space="preserve">394</t>
  </si>
  <si>
    <t xml:space="preserve">Student Financial Aid</t>
  </si>
  <si>
    <t xml:space="preserve">395</t>
  </si>
  <si>
    <t xml:space="preserve">Financial Planning</t>
  </si>
  <si>
    <t xml:space="preserve">396</t>
  </si>
  <si>
    <t xml:space="preserve">Frugal Living</t>
  </si>
  <si>
    <t xml:space="preserve">397</t>
  </si>
  <si>
    <t xml:space="preserve">Insurance</t>
  </si>
  <si>
    <t xml:space="preserve">398</t>
  </si>
  <si>
    <t xml:space="preserve">Health Insurance</t>
  </si>
  <si>
    <t xml:space="preserve">399</t>
  </si>
  <si>
    <t xml:space="preserve">Home Insurance</t>
  </si>
  <si>
    <t xml:space="preserve">400</t>
  </si>
  <si>
    <t xml:space="preserve">Life Insurance</t>
  </si>
  <si>
    <t xml:space="preserve">401</t>
  </si>
  <si>
    <t xml:space="preserve">Motor Insurance</t>
  </si>
  <si>
    <t xml:space="preserve">402</t>
  </si>
  <si>
    <t xml:space="preserve">Pet Insurance</t>
  </si>
  <si>
    <t xml:space="preserve">403</t>
  </si>
  <si>
    <t xml:space="preserve">Travel Insurance</t>
  </si>
  <si>
    <t xml:space="preserve">404</t>
  </si>
  <si>
    <t xml:space="preserve">Personal Debt</t>
  </si>
  <si>
    <t xml:space="preserve">405</t>
  </si>
  <si>
    <t xml:space="preserve">Credit Cards</t>
  </si>
  <si>
    <t xml:space="preserve">406</t>
  </si>
  <si>
    <t xml:space="preserve">Home Financing</t>
  </si>
  <si>
    <t xml:space="preserve">407</t>
  </si>
  <si>
    <t xml:space="preserve">Personal Loans</t>
  </si>
  <si>
    <t xml:space="preserve">408</t>
  </si>
  <si>
    <t xml:space="preserve">Student Loans</t>
  </si>
  <si>
    <t xml:space="preserve">409</t>
  </si>
  <si>
    <t xml:space="preserve">Personal Investing</t>
  </si>
  <si>
    <t xml:space="preserve">410</t>
  </si>
  <si>
    <t xml:space="preserve">Hedge Fund</t>
  </si>
  <si>
    <t xml:space="preserve">411</t>
  </si>
  <si>
    <t xml:space="preserve">Mutual Funds</t>
  </si>
  <si>
    <t xml:space="preserve">412</t>
  </si>
  <si>
    <t xml:space="preserve">Options</t>
  </si>
  <si>
    <t xml:space="preserve">413</t>
  </si>
  <si>
    <t xml:space="preserve">Stocks and Bonds</t>
  </si>
  <si>
    <t xml:space="preserve">414</t>
  </si>
  <si>
    <t xml:space="preserve">Personal Taxes</t>
  </si>
  <si>
    <t xml:space="preserve">415</t>
  </si>
  <si>
    <t xml:space="preserve">Retirement Planning</t>
  </si>
  <si>
    <t xml:space="preserve">416</t>
  </si>
  <si>
    <t xml:space="preserve">Home Utilities</t>
  </si>
  <si>
    <t xml:space="preserve">417</t>
  </si>
  <si>
    <t xml:space="preserve">Gas and Electric</t>
  </si>
  <si>
    <t xml:space="preserve">418</t>
  </si>
  <si>
    <t xml:space="preserve">Internet Service Providers</t>
  </si>
  <si>
    <t xml:space="preserve">419</t>
  </si>
  <si>
    <t xml:space="preserve">Phone Services</t>
  </si>
  <si>
    <t xml:space="preserve">420</t>
  </si>
  <si>
    <t xml:space="preserve">Water Services</t>
  </si>
  <si>
    <t xml:space="preserve">421</t>
  </si>
  <si>
    <t xml:space="preserve">Pets</t>
  </si>
  <si>
    <t xml:space="preserve">422</t>
  </si>
  <si>
    <t xml:space="preserve">Birds</t>
  </si>
  <si>
    <t xml:space="preserve">423</t>
  </si>
  <si>
    <t xml:space="preserve">Cats</t>
  </si>
  <si>
    <t xml:space="preserve">424</t>
  </si>
  <si>
    <t xml:space="preserve">Dogs</t>
  </si>
  <si>
    <t xml:space="preserve">425</t>
  </si>
  <si>
    <t xml:space="preserve">Fish and Aquariums</t>
  </si>
  <si>
    <t xml:space="preserve">426</t>
  </si>
  <si>
    <t xml:space="preserve">Large Animals</t>
  </si>
  <si>
    <t xml:space="preserve">427</t>
  </si>
  <si>
    <t xml:space="preserve">Pet Adoptions</t>
  </si>
  <si>
    <t xml:space="preserve">428</t>
  </si>
  <si>
    <t xml:space="preserve">Reptiles</t>
  </si>
  <si>
    <t xml:space="preserve">429</t>
  </si>
  <si>
    <t xml:space="preserve">Veterinary Medicine</t>
  </si>
  <si>
    <t xml:space="preserve">430</t>
  </si>
  <si>
    <t xml:space="preserve">Pet Supplies</t>
  </si>
  <si>
    <t xml:space="preserve">431</t>
  </si>
  <si>
    <t xml:space="preserve">Pop Culture</t>
  </si>
  <si>
    <t xml:space="preserve">432</t>
  </si>
  <si>
    <t xml:space="preserve">Celebrity Deaths</t>
  </si>
  <si>
    <t xml:space="preserve">433</t>
  </si>
  <si>
    <t xml:space="preserve">Celebrity Families</t>
  </si>
  <si>
    <t xml:space="preserve">434</t>
  </si>
  <si>
    <t xml:space="preserve">Celebrity Homes</t>
  </si>
  <si>
    <t xml:space="preserve">435</t>
  </si>
  <si>
    <t xml:space="preserve">Celebrity Pregnancy</t>
  </si>
  <si>
    <t xml:space="preserve">436</t>
  </si>
  <si>
    <t xml:space="preserve">Celebrity Relationships</t>
  </si>
  <si>
    <t xml:space="preserve">437</t>
  </si>
  <si>
    <t xml:space="preserve">Celebrity Scandal</t>
  </si>
  <si>
    <t xml:space="preserve">438</t>
  </si>
  <si>
    <t xml:space="preserve">Celebrity Style</t>
  </si>
  <si>
    <t xml:space="preserve">439</t>
  </si>
  <si>
    <t xml:space="preserve">Humor and Satire</t>
  </si>
  <si>
    <t xml:space="preserve">440</t>
  </si>
  <si>
    <t xml:space="preserve">Real Estate</t>
  </si>
  <si>
    <t xml:space="preserve">441</t>
  </si>
  <si>
    <t xml:space="preserve">Apartments</t>
  </si>
  <si>
    <t xml:space="preserve">442</t>
  </si>
  <si>
    <t xml:space="preserve">Retail Property</t>
  </si>
  <si>
    <t xml:space="preserve">443</t>
  </si>
  <si>
    <t xml:space="preserve">Vacation Properties</t>
  </si>
  <si>
    <t xml:space="preserve">444</t>
  </si>
  <si>
    <t xml:space="preserve">Developmental Sites</t>
  </si>
  <si>
    <t xml:space="preserve">445</t>
  </si>
  <si>
    <t xml:space="preserve">Hotel Properties</t>
  </si>
  <si>
    <t xml:space="preserve">446</t>
  </si>
  <si>
    <t xml:space="preserve">Houses</t>
  </si>
  <si>
    <t xml:space="preserve">447</t>
  </si>
  <si>
    <t xml:space="preserve">Industrial Property</t>
  </si>
  <si>
    <t xml:space="preserve">448</t>
  </si>
  <si>
    <t xml:space="preserve">Land and Farms</t>
  </si>
  <si>
    <t xml:space="preserve">449</t>
  </si>
  <si>
    <t xml:space="preserve">Office Property</t>
  </si>
  <si>
    <t xml:space="preserve">450</t>
  </si>
  <si>
    <t xml:space="preserve">Real Estate Buying and Selling</t>
  </si>
  <si>
    <t xml:space="preserve">451</t>
  </si>
  <si>
    <t xml:space="preserve">Real Estate Renting and Leasing</t>
  </si>
  <si>
    <t xml:space="preserve">452</t>
  </si>
  <si>
    <t xml:space="preserve">Religion &amp; Spirituality</t>
  </si>
  <si>
    <t xml:space="preserve">453</t>
  </si>
  <si>
    <t xml:space="preserve">Agnosticism</t>
  </si>
  <si>
    <t xml:space="preserve">454</t>
  </si>
  <si>
    <t xml:space="preserve">Spirituality</t>
  </si>
  <si>
    <t xml:space="preserve">455</t>
  </si>
  <si>
    <t xml:space="preserve">Astrology</t>
  </si>
  <si>
    <t xml:space="preserve">456</t>
  </si>
  <si>
    <t xml:space="preserve">Atheism</t>
  </si>
  <si>
    <t xml:space="preserve">457</t>
  </si>
  <si>
    <t xml:space="preserve">Buddhism</t>
  </si>
  <si>
    <t xml:space="preserve">458</t>
  </si>
  <si>
    <t xml:space="preserve">Christianity</t>
  </si>
  <si>
    <t xml:space="preserve">459</t>
  </si>
  <si>
    <t xml:space="preserve">Hinduism</t>
  </si>
  <si>
    <t xml:space="preserve">460</t>
  </si>
  <si>
    <t xml:space="preserve">Islam</t>
  </si>
  <si>
    <t xml:space="preserve">461</t>
  </si>
  <si>
    <t xml:space="preserve">Judaism</t>
  </si>
  <si>
    <t xml:space="preserve">462</t>
  </si>
  <si>
    <t xml:space="preserve">Sikhism</t>
  </si>
  <si>
    <t xml:space="preserve">463</t>
  </si>
  <si>
    <t xml:space="preserve">Science</t>
  </si>
  <si>
    <t xml:space="preserve">464</t>
  </si>
  <si>
    <t xml:space="preserve">Biological Sciences</t>
  </si>
  <si>
    <t xml:space="preserve">465</t>
  </si>
  <si>
    <t xml:space="preserve">Chemistry</t>
  </si>
  <si>
    <t xml:space="preserve">466</t>
  </si>
  <si>
    <t xml:space="preserve">Environment</t>
  </si>
  <si>
    <t xml:space="preserve">467</t>
  </si>
  <si>
    <t xml:space="preserve">Genetics</t>
  </si>
  <si>
    <t xml:space="preserve">468</t>
  </si>
  <si>
    <t xml:space="preserve">Geography</t>
  </si>
  <si>
    <t xml:space="preserve">469</t>
  </si>
  <si>
    <t xml:space="preserve">Geology</t>
  </si>
  <si>
    <t xml:space="preserve">470</t>
  </si>
  <si>
    <t xml:space="preserve">Physics</t>
  </si>
  <si>
    <t xml:space="preserve">471</t>
  </si>
  <si>
    <t xml:space="preserve">Space and Astronomy</t>
  </si>
  <si>
    <t xml:space="preserve">472</t>
  </si>
  <si>
    <t xml:space="preserve">Shopping</t>
  </si>
  <si>
    <t xml:space="preserve">473</t>
  </si>
  <si>
    <t xml:space="preserve">Coupons and Discounts</t>
  </si>
  <si>
    <t xml:space="preserve">474</t>
  </si>
  <si>
    <t xml:space="preserve">Flower Shopping</t>
  </si>
  <si>
    <t xml:space="preserve">475</t>
  </si>
  <si>
    <t xml:space="preserve">Gifts and Greetings Cards</t>
  </si>
  <si>
    <t xml:space="preserve">476</t>
  </si>
  <si>
    <t xml:space="preserve">Grocery Shopping</t>
  </si>
  <si>
    <t xml:space="preserve">477</t>
  </si>
  <si>
    <t xml:space="preserve">Holiday Shopping</t>
  </si>
  <si>
    <t xml:space="preserve">478</t>
  </si>
  <si>
    <t xml:space="preserve">Household Supplies</t>
  </si>
  <si>
    <t xml:space="preserve">479</t>
  </si>
  <si>
    <t xml:space="preserve">Lotteries and Scratchcards</t>
  </si>
  <si>
    <t xml:space="preserve">480</t>
  </si>
  <si>
    <t xml:space="preserve">Sales and Promotions</t>
  </si>
  <si>
    <t xml:space="preserve">481</t>
  </si>
  <si>
    <t xml:space="preserve">Children's Games and Toys</t>
  </si>
  <si>
    <t xml:space="preserve">482</t>
  </si>
  <si>
    <t xml:space="preserve">Sports</t>
  </si>
  <si>
    <t xml:space="preserve">483</t>
  </si>
  <si>
    <t xml:space="preserve">American Football</t>
  </si>
  <si>
    <t xml:space="preserve">484</t>
  </si>
  <si>
    <t xml:space="preserve">Boxing</t>
  </si>
  <si>
    <t xml:space="preserve">485</t>
  </si>
  <si>
    <t xml:space="preserve">Cheerleading</t>
  </si>
  <si>
    <t xml:space="preserve">486</t>
  </si>
  <si>
    <t xml:space="preserve">College Sports</t>
  </si>
  <si>
    <t xml:space="preserve">487</t>
  </si>
  <si>
    <t xml:space="preserve">College Football</t>
  </si>
  <si>
    <t xml:space="preserve">488</t>
  </si>
  <si>
    <t xml:space="preserve">College Basketball</t>
  </si>
  <si>
    <t xml:space="preserve">489</t>
  </si>
  <si>
    <t xml:space="preserve">College Baseball</t>
  </si>
  <si>
    <t xml:space="preserve">490</t>
  </si>
  <si>
    <t xml:space="preserve">Cricket</t>
  </si>
  <si>
    <t xml:space="preserve">491</t>
  </si>
  <si>
    <t xml:space="preserve">Cycling</t>
  </si>
  <si>
    <t xml:space="preserve">492</t>
  </si>
  <si>
    <t xml:space="preserve">Darts</t>
  </si>
  <si>
    <t xml:space="preserve">493</t>
  </si>
  <si>
    <t xml:space="preserve">Disabled Sports</t>
  </si>
  <si>
    <t xml:space="preserve">494</t>
  </si>
  <si>
    <t xml:space="preserve">Diving</t>
  </si>
  <si>
    <t xml:space="preserve">495</t>
  </si>
  <si>
    <t xml:space="preserve">Equine Sports</t>
  </si>
  <si>
    <t xml:space="preserve">496</t>
  </si>
  <si>
    <t xml:space="preserve">Horse Racing</t>
  </si>
  <si>
    <t xml:space="preserve">497</t>
  </si>
  <si>
    <t xml:space="preserve">Extreme Sports</t>
  </si>
  <si>
    <t xml:space="preserve">498</t>
  </si>
  <si>
    <t xml:space="preserve">Canoeing and Kayaking</t>
  </si>
  <si>
    <t xml:space="preserve">499</t>
  </si>
  <si>
    <t xml:space="preserve">Climbing</t>
  </si>
  <si>
    <t xml:space="preserve">500</t>
  </si>
  <si>
    <t xml:space="preserve">Paintball</t>
  </si>
  <si>
    <t xml:space="preserve">501</t>
  </si>
  <si>
    <t xml:space="preserve">Scuba Diving</t>
  </si>
  <si>
    <t xml:space="preserve">502</t>
  </si>
  <si>
    <t xml:space="preserve">Skateboarding</t>
  </si>
  <si>
    <t xml:space="preserve">503</t>
  </si>
  <si>
    <t xml:space="preserve">Snowboarding</t>
  </si>
  <si>
    <t xml:space="preserve">504</t>
  </si>
  <si>
    <t xml:space="preserve">Surfing and Bodyboarding</t>
  </si>
  <si>
    <t xml:space="preserve">505</t>
  </si>
  <si>
    <t xml:space="preserve">Waterskiing and Wakeboarding</t>
  </si>
  <si>
    <t xml:space="preserve">506</t>
  </si>
  <si>
    <t xml:space="preserve">Australian Rules Football</t>
  </si>
  <si>
    <t xml:space="preserve">507</t>
  </si>
  <si>
    <t xml:space="preserve">Fantasy Sports</t>
  </si>
  <si>
    <t xml:space="preserve">508</t>
  </si>
  <si>
    <t xml:space="preserve">Field Hockey</t>
  </si>
  <si>
    <t xml:space="preserve">509</t>
  </si>
  <si>
    <t xml:space="preserve">Figure Skating</t>
  </si>
  <si>
    <t xml:space="preserve">510</t>
  </si>
  <si>
    <t xml:space="preserve">Fishing Sports</t>
  </si>
  <si>
    <t xml:space="preserve">511</t>
  </si>
  <si>
    <t xml:space="preserve">Golf</t>
  </si>
  <si>
    <t xml:space="preserve">512</t>
  </si>
  <si>
    <t xml:space="preserve">Gymnastics</t>
  </si>
  <si>
    <t xml:space="preserve">513</t>
  </si>
  <si>
    <t xml:space="preserve">Hunting and Shooting</t>
  </si>
  <si>
    <t xml:space="preserve">514</t>
  </si>
  <si>
    <t xml:space="preserve">Ice Hockey</t>
  </si>
  <si>
    <t xml:space="preserve">515</t>
  </si>
  <si>
    <t xml:space="preserve">Inline Skating</t>
  </si>
  <si>
    <t xml:space="preserve">516</t>
  </si>
  <si>
    <t xml:space="preserve">Lacrosse</t>
  </si>
  <si>
    <t xml:space="preserve">517</t>
  </si>
  <si>
    <t xml:space="preserve">Auto Racing</t>
  </si>
  <si>
    <t xml:space="preserve">518</t>
  </si>
  <si>
    <t xml:space="preserve">Motorcycle Sports</t>
  </si>
  <si>
    <t xml:space="preserve">519</t>
  </si>
  <si>
    <t xml:space="preserve">Martial Arts</t>
  </si>
  <si>
    <t xml:space="preserve">520</t>
  </si>
  <si>
    <t xml:space="preserve">Olympic Sports</t>
  </si>
  <si>
    <t xml:space="preserve">521</t>
  </si>
  <si>
    <t xml:space="preserve">Summer Olympic Sports</t>
  </si>
  <si>
    <t xml:space="preserve">522</t>
  </si>
  <si>
    <t xml:space="preserve">Winter Olympic Sports</t>
  </si>
  <si>
    <t xml:space="preserve">523</t>
  </si>
  <si>
    <t xml:space="preserve">Poker and Professional Gambling</t>
  </si>
  <si>
    <t xml:space="preserve">524</t>
  </si>
  <si>
    <t xml:space="preserve">Rodeo</t>
  </si>
  <si>
    <t xml:space="preserve">525</t>
  </si>
  <si>
    <t xml:space="preserve">Rowing</t>
  </si>
  <si>
    <t xml:space="preserve">526</t>
  </si>
  <si>
    <t xml:space="preserve">Rugby</t>
  </si>
  <si>
    <t xml:space="preserve">527</t>
  </si>
  <si>
    <t xml:space="preserve">Rugby League</t>
  </si>
  <si>
    <t xml:space="preserve">528</t>
  </si>
  <si>
    <t xml:space="preserve">Rugby Union</t>
  </si>
  <si>
    <t xml:space="preserve">529</t>
  </si>
  <si>
    <t xml:space="preserve">Sailing</t>
  </si>
  <si>
    <t xml:space="preserve">530</t>
  </si>
  <si>
    <t xml:space="preserve">Skiing</t>
  </si>
  <si>
    <t xml:space="preserve">531</t>
  </si>
  <si>
    <t xml:space="preserve">Snooker/Pool/Billiards</t>
  </si>
  <si>
    <t xml:space="preserve">532</t>
  </si>
  <si>
    <t xml:space="preserve">Soccer</t>
  </si>
  <si>
    <t xml:space="preserve">533</t>
  </si>
  <si>
    <t xml:space="preserve">Badminton</t>
  </si>
  <si>
    <t xml:space="preserve">534</t>
  </si>
  <si>
    <t xml:space="preserve">Softball</t>
  </si>
  <si>
    <t xml:space="preserve">535</t>
  </si>
  <si>
    <t xml:space="preserve">Squash</t>
  </si>
  <si>
    <t xml:space="preserve">536</t>
  </si>
  <si>
    <t xml:space="preserve">Swimming</t>
  </si>
  <si>
    <t xml:space="preserve">537</t>
  </si>
  <si>
    <t xml:space="preserve">Table Tennis</t>
  </si>
  <si>
    <t xml:space="preserve">538</t>
  </si>
  <si>
    <t xml:space="preserve">Tennis</t>
  </si>
  <si>
    <t xml:space="preserve">539</t>
  </si>
  <si>
    <t xml:space="preserve">Track and Field</t>
  </si>
  <si>
    <t xml:space="preserve">540</t>
  </si>
  <si>
    <t xml:space="preserve">Volleyball</t>
  </si>
  <si>
    <t xml:space="preserve">541</t>
  </si>
  <si>
    <t xml:space="preserve">Walking</t>
  </si>
  <si>
    <t xml:space="preserve">542</t>
  </si>
  <si>
    <t xml:space="preserve">Water Polo</t>
  </si>
  <si>
    <t xml:space="preserve">543</t>
  </si>
  <si>
    <t xml:space="preserve">Weightlifting</t>
  </si>
  <si>
    <t xml:space="preserve">544</t>
  </si>
  <si>
    <t xml:space="preserve">Baseball</t>
  </si>
  <si>
    <t xml:space="preserve">545</t>
  </si>
  <si>
    <t xml:space="preserve">Wrestling</t>
  </si>
  <si>
    <t xml:space="preserve">546</t>
  </si>
  <si>
    <t xml:space="preserve">Basketball</t>
  </si>
  <si>
    <t xml:space="preserve">547</t>
  </si>
  <si>
    <t xml:space="preserve">Beach Volleyball</t>
  </si>
  <si>
    <t xml:space="preserve">548</t>
  </si>
  <si>
    <t xml:space="preserve">Bodybuilding</t>
  </si>
  <si>
    <t xml:space="preserve">549</t>
  </si>
  <si>
    <t xml:space="preserve">Bowling</t>
  </si>
  <si>
    <t xml:space="preserve">550</t>
  </si>
  <si>
    <t xml:space="preserve">Sports Equipment</t>
  </si>
  <si>
    <t xml:space="preserve">551</t>
  </si>
  <si>
    <t xml:space="preserve">Style &amp; Fashion</t>
  </si>
  <si>
    <t xml:space="preserve">552</t>
  </si>
  <si>
    <t xml:space="preserve">Beauty</t>
  </si>
  <si>
    <t xml:space="preserve">553</t>
  </si>
  <si>
    <t xml:space="preserve">Hair Care</t>
  </si>
  <si>
    <t xml:space="preserve">554</t>
  </si>
  <si>
    <t xml:space="preserve">Makeup and Accessories</t>
  </si>
  <si>
    <t xml:space="preserve">555</t>
  </si>
  <si>
    <t xml:space="preserve">Nail Care</t>
  </si>
  <si>
    <t xml:space="preserve">556</t>
  </si>
  <si>
    <t xml:space="preserve">Natural and Organic Beauty</t>
  </si>
  <si>
    <t xml:space="preserve">557</t>
  </si>
  <si>
    <t xml:space="preserve">Perfume and Fragrance</t>
  </si>
  <si>
    <t xml:space="preserve">558</t>
  </si>
  <si>
    <t xml:space="preserve">Skin Care</t>
  </si>
  <si>
    <t xml:space="preserve">559</t>
  </si>
  <si>
    <t xml:space="preserve">Women's Fashion</t>
  </si>
  <si>
    <t xml:space="preserve">560</t>
  </si>
  <si>
    <t xml:space="preserve">Women's Accessories</t>
  </si>
  <si>
    <t xml:space="preserve">561</t>
  </si>
  <si>
    <t xml:space="preserve">Women's Glasses</t>
  </si>
  <si>
    <t xml:space="preserve">562</t>
  </si>
  <si>
    <t xml:space="preserve">Women's Handbags and Wallets</t>
  </si>
  <si>
    <t xml:space="preserve">563</t>
  </si>
  <si>
    <t xml:space="preserve">Women's Hats and Scarves</t>
  </si>
  <si>
    <t xml:space="preserve">564</t>
  </si>
  <si>
    <t xml:space="preserve">Women's Jewelry and Watches</t>
  </si>
  <si>
    <t xml:space="preserve">565</t>
  </si>
  <si>
    <t xml:space="preserve">Women's Clothing</t>
  </si>
  <si>
    <t xml:space="preserve">566</t>
  </si>
  <si>
    <t xml:space="preserve">Women's Business Wear</t>
  </si>
  <si>
    <t xml:space="preserve">567</t>
  </si>
  <si>
    <t xml:space="preserve">Women's Casual Wear</t>
  </si>
  <si>
    <t xml:space="preserve">568</t>
  </si>
  <si>
    <t xml:space="preserve">Women's Formal Wear</t>
  </si>
  <si>
    <t xml:space="preserve">569</t>
  </si>
  <si>
    <t xml:space="preserve">Women's Intimates and Sleepwear</t>
  </si>
  <si>
    <t xml:space="preserve">570</t>
  </si>
  <si>
    <t xml:space="preserve">Women's Outerwear</t>
  </si>
  <si>
    <t xml:space="preserve">571</t>
  </si>
  <si>
    <t xml:space="preserve">Women's Sportswear</t>
  </si>
  <si>
    <t xml:space="preserve">572</t>
  </si>
  <si>
    <t xml:space="preserve">Women's Shoes and Footwear</t>
  </si>
  <si>
    <t xml:space="preserve">573</t>
  </si>
  <si>
    <t xml:space="preserve">Body Art</t>
  </si>
  <si>
    <t xml:space="preserve">574</t>
  </si>
  <si>
    <t xml:space="preserve">Children's Clothing</t>
  </si>
  <si>
    <t xml:space="preserve">575</t>
  </si>
  <si>
    <t xml:space="preserve">Designer Clothing</t>
  </si>
  <si>
    <t xml:space="preserve">576</t>
  </si>
  <si>
    <t xml:space="preserve">Fashion Trends</t>
  </si>
  <si>
    <t xml:space="preserve">577</t>
  </si>
  <si>
    <t xml:space="preserve">High Fashion</t>
  </si>
  <si>
    <t xml:space="preserve">578</t>
  </si>
  <si>
    <t xml:space="preserve">Men's Fashion</t>
  </si>
  <si>
    <t xml:space="preserve">579</t>
  </si>
  <si>
    <t xml:space="preserve">Men's Accessories</t>
  </si>
  <si>
    <t xml:space="preserve">580</t>
  </si>
  <si>
    <t xml:space="preserve">Men's Jewelry and Watches</t>
  </si>
  <si>
    <t xml:space="preserve">581</t>
  </si>
  <si>
    <t xml:space="preserve">Men's Clothing</t>
  </si>
  <si>
    <t xml:space="preserve">582</t>
  </si>
  <si>
    <t xml:space="preserve">Men's Business Wear</t>
  </si>
  <si>
    <t xml:space="preserve">583</t>
  </si>
  <si>
    <t xml:space="preserve">Men's Casual Wear</t>
  </si>
  <si>
    <t xml:space="preserve">584</t>
  </si>
  <si>
    <t xml:space="preserve">Men's Formal Wear</t>
  </si>
  <si>
    <t xml:space="preserve">585</t>
  </si>
  <si>
    <t xml:space="preserve">Men's Outerwear</t>
  </si>
  <si>
    <t xml:space="preserve">586</t>
  </si>
  <si>
    <t xml:space="preserve">Men's Sportswear</t>
  </si>
  <si>
    <t xml:space="preserve">587</t>
  </si>
  <si>
    <t xml:space="preserve">Men's Underwear and Sleepwear</t>
  </si>
  <si>
    <t xml:space="preserve">588</t>
  </si>
  <si>
    <t xml:space="preserve">Men's Shoes and Footwear</t>
  </si>
  <si>
    <t xml:space="preserve">589</t>
  </si>
  <si>
    <t xml:space="preserve">Personal Care</t>
  </si>
  <si>
    <t xml:space="preserve">590</t>
  </si>
  <si>
    <t xml:space="preserve">Bath and Shower</t>
  </si>
  <si>
    <t xml:space="preserve">591</t>
  </si>
  <si>
    <t xml:space="preserve">Deodorant and Antiperspirant</t>
  </si>
  <si>
    <t xml:space="preserve">592</t>
  </si>
  <si>
    <t xml:space="preserve">Oral care</t>
  </si>
  <si>
    <t xml:space="preserve">593</t>
  </si>
  <si>
    <t xml:space="preserve">Shaving</t>
  </si>
  <si>
    <t xml:space="preserve">594</t>
  </si>
  <si>
    <t xml:space="preserve">Street Style</t>
  </si>
  <si>
    <t xml:space="preserve">595</t>
  </si>
  <si>
    <t xml:space="preserve">Technology &amp; Computing</t>
  </si>
  <si>
    <t xml:space="preserve">596</t>
  </si>
  <si>
    <t xml:space="preserve">Artificial Intelligence</t>
  </si>
  <si>
    <t xml:space="preserve">597</t>
  </si>
  <si>
    <t xml:space="preserve">Augmented Reality</t>
  </si>
  <si>
    <t xml:space="preserve">598</t>
  </si>
  <si>
    <t xml:space="preserve">Computing</t>
  </si>
  <si>
    <t xml:space="preserve">599</t>
  </si>
  <si>
    <t xml:space="preserve">Computer Networking</t>
  </si>
  <si>
    <t xml:space="preserve">600</t>
  </si>
  <si>
    <t xml:space="preserve">Computer Peripherals</t>
  </si>
  <si>
    <t xml:space="preserve">601</t>
  </si>
  <si>
    <t xml:space="preserve">Computer Software and Applications</t>
  </si>
  <si>
    <t xml:space="preserve">602</t>
  </si>
  <si>
    <t xml:space="preserve">3-D Graphics</t>
  </si>
  <si>
    <t xml:space="preserve">603</t>
  </si>
  <si>
    <t xml:space="preserve">Photo Editing Software</t>
  </si>
  <si>
    <t xml:space="preserve">604</t>
  </si>
  <si>
    <t xml:space="preserve">Shareware and Freeware</t>
  </si>
  <si>
    <t xml:space="preserve">605</t>
  </si>
  <si>
    <t xml:space="preserve">Video Software</t>
  </si>
  <si>
    <t xml:space="preserve">606</t>
  </si>
  <si>
    <t xml:space="preserve">Web Conferencing</t>
  </si>
  <si>
    <t xml:space="preserve">607</t>
  </si>
  <si>
    <t xml:space="preserve">Antivirus Software</t>
  </si>
  <si>
    <t xml:space="preserve">608</t>
  </si>
  <si>
    <t xml:space="preserve">Browsers</t>
  </si>
  <si>
    <t xml:space="preserve">609</t>
  </si>
  <si>
    <t xml:space="preserve">Computer Animation</t>
  </si>
  <si>
    <t xml:space="preserve">610</t>
  </si>
  <si>
    <t xml:space="preserve">Databases</t>
  </si>
  <si>
    <t xml:space="preserve">611</t>
  </si>
  <si>
    <t xml:space="preserve">Desktop Publishing</t>
  </si>
  <si>
    <t xml:space="preserve">612</t>
  </si>
  <si>
    <t xml:space="preserve">Digital Audio</t>
  </si>
  <si>
    <t xml:space="preserve">613</t>
  </si>
  <si>
    <t xml:space="preserve">Graphics Software</t>
  </si>
  <si>
    <t xml:space="preserve">614</t>
  </si>
  <si>
    <t xml:space="preserve">Operating Systems</t>
  </si>
  <si>
    <t xml:space="preserve">615</t>
  </si>
  <si>
    <t xml:space="preserve">Data Storage and Warehousing</t>
  </si>
  <si>
    <t xml:space="preserve">616</t>
  </si>
  <si>
    <t xml:space="preserve">Desktops</t>
  </si>
  <si>
    <t xml:space="preserve">617</t>
  </si>
  <si>
    <t xml:space="preserve">Information and Network Security</t>
  </si>
  <si>
    <t xml:space="preserve">618</t>
  </si>
  <si>
    <t xml:space="preserve">Internet</t>
  </si>
  <si>
    <t xml:space="preserve">619</t>
  </si>
  <si>
    <t xml:space="preserve">Cloud Computing</t>
  </si>
  <si>
    <t xml:space="preserve">620</t>
  </si>
  <si>
    <t xml:space="preserve">Web Development</t>
  </si>
  <si>
    <t xml:space="preserve">621</t>
  </si>
  <si>
    <t xml:space="preserve">Web Hosting</t>
  </si>
  <si>
    <t xml:space="preserve">622</t>
  </si>
  <si>
    <t xml:space="preserve">Email</t>
  </si>
  <si>
    <t xml:space="preserve">623</t>
  </si>
  <si>
    <t xml:space="preserve">Internet for Beginners</t>
  </si>
  <si>
    <t xml:space="preserve">624</t>
  </si>
  <si>
    <t xml:space="preserve">Internet of Things</t>
  </si>
  <si>
    <t xml:space="preserve">625</t>
  </si>
  <si>
    <t xml:space="preserve">IT and Internet Support</t>
  </si>
  <si>
    <t xml:space="preserve">626</t>
  </si>
  <si>
    <t xml:space="preserve">Search</t>
  </si>
  <si>
    <t xml:space="preserve">627</t>
  </si>
  <si>
    <t xml:space="preserve">Social Networking</t>
  </si>
  <si>
    <t xml:space="preserve">628</t>
  </si>
  <si>
    <t xml:space="preserve">Web Design and HTML</t>
  </si>
  <si>
    <t xml:space="preserve">629</t>
  </si>
  <si>
    <t xml:space="preserve">Laptops</t>
  </si>
  <si>
    <t xml:space="preserve">630</t>
  </si>
  <si>
    <t xml:space="preserve">Programming Languages</t>
  </si>
  <si>
    <t xml:space="preserve">631</t>
  </si>
  <si>
    <t xml:space="preserve">Consumer Electronics</t>
  </si>
  <si>
    <t xml:space="preserve">632</t>
  </si>
  <si>
    <t xml:space="preserve">Cameras and Camcorders</t>
  </si>
  <si>
    <t xml:space="preserve">633</t>
  </si>
  <si>
    <t xml:space="preserve">Home Entertainment Systems</t>
  </si>
  <si>
    <t xml:space="preserve">634</t>
  </si>
  <si>
    <t xml:space="preserve">Smartphones</t>
  </si>
  <si>
    <t xml:space="preserve">635</t>
  </si>
  <si>
    <t xml:space="preserve">Tablets and E-readers</t>
  </si>
  <si>
    <t xml:space="preserve">636</t>
  </si>
  <si>
    <t xml:space="preserve">Wearable Technology</t>
  </si>
  <si>
    <t xml:space="preserve">637</t>
  </si>
  <si>
    <t xml:space="preserve">Robotics</t>
  </si>
  <si>
    <t xml:space="preserve">638</t>
  </si>
  <si>
    <t xml:space="preserve">Virtual Reality</t>
  </si>
  <si>
    <t xml:space="preserve">639</t>
  </si>
  <si>
    <t xml:space="preserve">Television</t>
  </si>
  <si>
    <t xml:space="preserve">640</t>
  </si>
  <si>
    <t xml:space="preserve">Animation &amp; Anime</t>
  </si>
  <si>
    <t xml:space="preserve">641</t>
  </si>
  <si>
    <t xml:space="preserve">Soap Opera</t>
  </si>
  <si>
    <t xml:space="preserve">642</t>
  </si>
  <si>
    <t xml:space="preserve">Special Interest (Indie/Art House)</t>
  </si>
  <si>
    <t xml:space="preserve">643</t>
  </si>
  <si>
    <t xml:space="preserve">Family/Children</t>
  </si>
  <si>
    <t xml:space="preserve">645</t>
  </si>
  <si>
    <t xml:space="preserve">Comedy</t>
  </si>
  <si>
    <t xml:space="preserve">646</t>
  </si>
  <si>
    <t xml:space="preserve">Drama</t>
  </si>
  <si>
    <t xml:space="preserve">647</t>
  </si>
  <si>
    <t xml:space="preserve">Factual</t>
  </si>
  <si>
    <t xml:space="preserve">648</t>
  </si>
  <si>
    <t xml:space="preserve">Holiday</t>
  </si>
  <si>
    <t xml:space="preserve">649</t>
  </si>
  <si>
    <t xml:space="preserve">Music Video</t>
  </si>
  <si>
    <t xml:space="preserve">650</t>
  </si>
  <si>
    <t xml:space="preserve">Reality TV</t>
  </si>
  <si>
    <t xml:space="preserve">651</t>
  </si>
  <si>
    <t xml:space="preserve">Science Fiction</t>
  </si>
  <si>
    <t xml:space="preserve">652</t>
  </si>
  <si>
    <t xml:space="preserve">Travel</t>
  </si>
  <si>
    <t xml:space="preserve">653</t>
  </si>
  <si>
    <t xml:space="preserve">Travel Accessories</t>
  </si>
  <si>
    <t xml:space="preserve">654</t>
  </si>
  <si>
    <t xml:space="preserve">Travel Locations</t>
  </si>
  <si>
    <t xml:space="preserve">655</t>
  </si>
  <si>
    <t xml:space="preserve">Africa Travel</t>
  </si>
  <si>
    <t xml:space="preserve">656</t>
  </si>
  <si>
    <t xml:space="preserve">Asia Travel</t>
  </si>
  <si>
    <t xml:space="preserve">657</t>
  </si>
  <si>
    <t xml:space="preserve">Australia and Oceania Travel</t>
  </si>
  <si>
    <t xml:space="preserve">658</t>
  </si>
  <si>
    <t xml:space="preserve">Europe Travel</t>
  </si>
  <si>
    <t xml:space="preserve">659</t>
  </si>
  <si>
    <t xml:space="preserve">North America Travel</t>
  </si>
  <si>
    <t xml:space="preserve">660</t>
  </si>
  <si>
    <t xml:space="preserve">Polar Travel</t>
  </si>
  <si>
    <t xml:space="preserve">661</t>
  </si>
  <si>
    <t xml:space="preserve">South America Travel</t>
  </si>
  <si>
    <t xml:space="preserve">662</t>
  </si>
  <si>
    <t xml:space="preserve">Travel Preparation and Advice</t>
  </si>
  <si>
    <t xml:space="preserve">663</t>
  </si>
  <si>
    <t xml:space="preserve">Travel Type</t>
  </si>
  <si>
    <t xml:space="preserve">664</t>
  </si>
  <si>
    <t xml:space="preserve">Adventure Travel</t>
  </si>
  <si>
    <t xml:space="preserve">665</t>
  </si>
  <si>
    <t xml:space="preserve">Family Travel</t>
  </si>
  <si>
    <t xml:space="preserve">666</t>
  </si>
  <si>
    <t xml:space="preserve">Honeymoons and Getaways</t>
  </si>
  <si>
    <t xml:space="preserve">667</t>
  </si>
  <si>
    <t xml:space="preserve">Hotels and Motels</t>
  </si>
  <si>
    <t xml:space="preserve">668</t>
  </si>
  <si>
    <t xml:space="preserve">Rail Travel</t>
  </si>
  <si>
    <t xml:space="preserve">669</t>
  </si>
  <si>
    <t xml:space="preserve">Road Trips</t>
  </si>
  <si>
    <t xml:space="preserve">670</t>
  </si>
  <si>
    <t xml:space="preserve">Spas</t>
  </si>
  <si>
    <t xml:space="preserve">671</t>
  </si>
  <si>
    <t xml:space="preserve">Air Travel</t>
  </si>
  <si>
    <t xml:space="preserve">672</t>
  </si>
  <si>
    <t xml:space="preserve">Beach Travel</t>
  </si>
  <si>
    <t xml:space="preserve">673</t>
  </si>
  <si>
    <t xml:space="preserve">Bed &amp; Breakfasts</t>
  </si>
  <si>
    <t xml:space="preserve">674</t>
  </si>
  <si>
    <t xml:space="preserve">Budget Travel</t>
  </si>
  <si>
    <t xml:space="preserve">675</t>
  </si>
  <si>
    <t xml:space="preserve">Business Travel</t>
  </si>
  <si>
    <t xml:space="preserve">676</t>
  </si>
  <si>
    <t xml:space="preserve">Camping</t>
  </si>
  <si>
    <t xml:space="preserve">677</t>
  </si>
  <si>
    <t xml:space="preserve">Cruises</t>
  </si>
  <si>
    <t xml:space="preserve">678</t>
  </si>
  <si>
    <t xml:space="preserve">Day Trips</t>
  </si>
  <si>
    <t xml:space="preserve">679</t>
  </si>
  <si>
    <t xml:space="preserve">Video Gaming</t>
  </si>
  <si>
    <t xml:space="preserve">680</t>
  </si>
  <si>
    <t xml:space="preserve">Console Games</t>
  </si>
  <si>
    <t xml:space="preserve">681</t>
  </si>
  <si>
    <t xml:space="preserve">eSports</t>
  </si>
  <si>
    <t xml:space="preserve">682</t>
  </si>
  <si>
    <t xml:space="preserve">Mobile Games</t>
  </si>
  <si>
    <t xml:space="preserve">683</t>
  </si>
  <si>
    <t xml:space="preserve">PC Games</t>
  </si>
  <si>
    <t xml:space="preserve">684</t>
  </si>
  <si>
    <t xml:space="preserve">Video Game Genres</t>
  </si>
  <si>
    <t xml:space="preserve">685</t>
  </si>
  <si>
    <t xml:space="preserve">Action Video Games</t>
  </si>
  <si>
    <t xml:space="preserve">686</t>
  </si>
  <si>
    <t xml:space="preserve">Role-Playing Video Games</t>
  </si>
  <si>
    <t xml:space="preserve">687</t>
  </si>
  <si>
    <t xml:space="preserve">Simulation Video Games</t>
  </si>
  <si>
    <t xml:space="preserve">688</t>
  </si>
  <si>
    <t xml:space="preserve">Sports Video Games</t>
  </si>
  <si>
    <t xml:space="preserve">689</t>
  </si>
  <si>
    <t xml:space="preserve">Strategy Video Games</t>
  </si>
  <si>
    <t xml:space="preserve">690</t>
  </si>
  <si>
    <t xml:space="preserve">Action-Adventure Video Games</t>
  </si>
  <si>
    <t xml:space="preserve">691</t>
  </si>
  <si>
    <t xml:space="preserve">Adventure Video Games</t>
  </si>
  <si>
    <t xml:space="preserve">692</t>
  </si>
  <si>
    <t xml:space="preserve">Casual Games</t>
  </si>
  <si>
    <t xml:space="preserve">693</t>
  </si>
  <si>
    <t xml:space="preserve">Educational Video Games</t>
  </si>
  <si>
    <t xml:space="preserve">694</t>
  </si>
  <si>
    <t xml:space="preserve">Exercise and Fitness Video Games</t>
  </si>
  <si>
    <t xml:space="preserve">695</t>
  </si>
  <si>
    <t xml:space="preserve">MMOs</t>
  </si>
  <si>
    <t xml:space="preserve">696</t>
  </si>
  <si>
    <t xml:space="preserve">Music and Party Video Games</t>
  </si>
  <si>
    <t xml:space="preserve">697</t>
  </si>
  <si>
    <t xml:space="preserve">Puzzle Video Games</t>
  </si>
  <si>
    <t xml:space="preserve">698</t>
  </si>
  <si>
    <t xml:space="preserve">Thriller</t>
  </si>
  <si>
    <t xml:space="preserve">700</t>
  </si>
  <si>
    <t xml:space="preserve">Communication</t>
  </si>
  <si>
    <t xml:space="preserve">80DV8O</t>
  </si>
  <si>
    <t xml:space="preserve">Terrorism</t>
  </si>
  <si>
    <t xml:space="preserve">8FD8nI</t>
  </si>
  <si>
    <t xml:space="preserve">Events</t>
  </si>
  <si>
    <t xml:space="preserve">8VZQHL</t>
  </si>
  <si>
    <t xml:space="preserve">Talk Show</t>
  </si>
  <si>
    <t xml:space="preserve">A0AH3G</t>
  </si>
  <si>
    <t xml:space="preserve">History</t>
  </si>
  <si>
    <t xml:space="preserve">EZWB7V</t>
  </si>
  <si>
    <t xml:space="preserve">Hate Speech and Acts of Aggression</t>
  </si>
  <si>
    <t xml:space="preserve">HxqYV1</t>
  </si>
  <si>
    <t xml:space="preserve">Death, Injury, or Military Conflict</t>
  </si>
  <si>
    <t xml:space="preserve">I4GWl6</t>
  </si>
  <si>
    <t xml:space="preserve">Horror Video Games</t>
  </si>
  <si>
    <t xml:space="preserve">II436J</t>
  </si>
  <si>
    <t xml:space="preserve">Entertainment</t>
  </si>
  <si>
    <t xml:space="preserve">JLBCU7</t>
  </si>
  <si>
    <t xml:space="preserve">True Crime</t>
  </si>
  <si>
    <t xml:space="preserve">KHPC5A</t>
  </si>
  <si>
    <t xml:space="preserve">Western</t>
  </si>
  <si>
    <t xml:space="preserve">KHPC6A</t>
  </si>
  <si>
    <t xml:space="preserve">Adult Video Games</t>
  </si>
  <si>
    <t xml:space="preserve">MQ2XML</t>
  </si>
  <si>
    <t xml:space="preserve">Adult &amp; Explicit Sexual Content</t>
  </si>
  <si>
    <t xml:space="preserve">Rm3SiT</t>
  </si>
  <si>
    <t xml:space="preserve">Genres</t>
  </si>
  <si>
    <t xml:space="preserve">SPSHQ5</t>
  </si>
  <si>
    <t xml:space="preserve">Lifestyle</t>
  </si>
  <si>
    <t xml:space="preserve">TIFQA5</t>
  </si>
  <si>
    <t xml:space="preserve">Racing Video Games</t>
  </si>
  <si>
    <t xml:space="preserve">VK7KD0</t>
  </si>
  <si>
    <t xml:space="preserve">Nature</t>
  </si>
  <si>
    <t xml:space="preserve">VKIV56</t>
  </si>
  <si>
    <t xml:space="preserve">Family Video Games</t>
  </si>
  <si>
    <t xml:space="preserve">VWGKS7</t>
  </si>
  <si>
    <t xml:space="preserve">Productivity</t>
  </si>
  <si>
    <t xml:space="preserve">W3CW2J</t>
  </si>
  <si>
    <t xml:space="preserve">Maps &amp; Navigation</t>
  </si>
  <si>
    <t xml:space="preserve">WQC6HR</t>
  </si>
  <si>
    <t xml:space="preserve">Crime &amp; Harmful Acts to Individuals, Society &amp; Human Right Violations</t>
  </si>
  <si>
    <t xml:space="preserve">XtODT3</t>
  </si>
  <si>
    <t xml:space="preserve">Debated Sensitive Social Issues</t>
  </si>
  <si>
    <t xml:space="preserve">Z7rJBM</t>
  </si>
  <si>
    <t xml:space="preserve">Casino and Gambling Video Games</t>
  </si>
  <si>
    <t xml:space="preserve">ZJG29S</t>
  </si>
  <si>
    <t xml:space="preserve">Arms &amp; Ammunition</t>
  </si>
  <si>
    <t xml:space="preserve">avbNf2</t>
  </si>
  <si>
    <t xml:space="preserve">Obscenity and Profanity</t>
  </si>
  <si>
    <t xml:space="preserve">j9PaO9</t>
  </si>
  <si>
    <t xml:space="preserve">Online Piracy</t>
  </si>
  <si>
    <t xml:space="preserve">mm3UXx</t>
  </si>
  <si>
    <t xml:space="preserve">Illegal Drugs, Tobacco, eCigarettes, Vaping, Alcohol</t>
  </si>
  <si>
    <t xml:space="preserve">pg0WhF</t>
  </si>
  <si>
    <t xml:space="preserve">Sensitive Topics</t>
  </si>
  <si>
    <t xml:space="preserve">v9i3On</t>
  </si>
  <si>
    <t xml:space="preserve">Spam or Harmful Content</t>
  </si>
  <si>
    <t xml:space="preserve">6i4dB6</t>
  </si>
  <si>
    <t xml:space="preserve">Civic affairs</t>
  </si>
  <si>
    <t xml:space="preserve">8YPBBL</t>
  </si>
  <si>
    <t xml:space="preserve">Holidays</t>
  </si>
  <si>
    <t xml:space="preserve">1KXCLD</t>
  </si>
  <si>
    <t xml:space="preserve">version</t>
  </si>
  <si>
    <t xml:space="preserve">1.0.0</t>
  </si>
  <si>
    <t xml:space="preserve">Lines defined</t>
  </si>
  <si>
    <t xml:space="preserve">Fully compliant?</t>
  </si>
  <si>
    <t xml:space="preserve">without errors</t>
  </si>
  <si>
    <t xml:space="preserve">is Empty</t>
  </si>
  <si>
    <t xml:space="preserve">has Blank Lines?</t>
  </si>
</sst>
</file>

<file path=xl/styles.xml><?xml version="1.0" encoding="utf-8"?>
<styleSheet xmlns="http://schemas.openxmlformats.org/spreadsheetml/2006/main">
  <numFmts count="3">
    <numFmt numFmtId="164" formatCode="General"/>
    <numFmt numFmtId="165" formatCode="@"/>
    <numFmt numFmtId="166" formatCode="General"/>
  </numFmts>
  <fonts count="12">
    <font>
      <sz val="12"/>
      <color rgb="FF000000"/>
      <name val="Calibri"/>
      <family val="2"/>
      <charset val="1"/>
    </font>
    <font>
      <sz val="10"/>
      <name val="Arial"/>
      <family val="0"/>
    </font>
    <font>
      <sz val="10"/>
      <name val="Arial"/>
      <family val="0"/>
    </font>
    <font>
      <sz val="10"/>
      <name val="Arial"/>
      <family val="0"/>
    </font>
    <font>
      <sz val="16"/>
      <color rgb="FF000000"/>
      <name val="Calibri"/>
      <family val="2"/>
      <charset val="1"/>
    </font>
    <font>
      <b val="true"/>
      <sz val="12"/>
      <color rgb="FF000000"/>
      <name val="Calibri"/>
      <family val="2"/>
      <charset val="1"/>
    </font>
    <font>
      <u val="single"/>
      <sz val="12"/>
      <color rgb="FF0563C1"/>
      <name val="Calibri"/>
      <family val="2"/>
      <charset val="1"/>
    </font>
    <font>
      <sz val="12"/>
      <color rgb="FFFFFFFF"/>
      <name val="Calibri"/>
      <family val="2"/>
      <charset val="1"/>
    </font>
    <font>
      <sz val="12"/>
      <color rgb="FFFF0000"/>
      <name val="Calibri"/>
      <family val="2"/>
      <charset val="1"/>
    </font>
    <font>
      <b val="true"/>
      <sz val="12"/>
      <name val="Calibri"/>
      <family val="2"/>
      <charset val="1"/>
    </font>
    <font>
      <sz val="12"/>
      <name val="Calibri"/>
      <family val="2"/>
      <charset val="1"/>
    </font>
    <font>
      <sz val="9"/>
      <color rgb="FF000000"/>
      <name val="Tahoma"/>
      <family val="2"/>
      <charset val="1"/>
    </font>
  </fonts>
  <fills count="5">
    <fill>
      <patternFill patternType="none"/>
    </fill>
    <fill>
      <patternFill patternType="gray125"/>
    </fill>
    <fill>
      <patternFill patternType="solid">
        <fgColor rgb="FFBDD7EE"/>
        <bgColor rgb="FFDBDBDB"/>
      </patternFill>
    </fill>
    <fill>
      <patternFill patternType="solid">
        <fgColor rgb="FF000000"/>
        <bgColor rgb="FF003300"/>
      </patternFill>
    </fill>
    <fill>
      <patternFill patternType="solid">
        <fgColor rgb="FFFF0000"/>
        <bgColor rgb="FF993300"/>
      </patternFill>
    </fill>
  </fills>
  <borders count="8">
    <border diagonalUp="false" diagonalDown="false">
      <left/>
      <right/>
      <top/>
      <bottom/>
      <diagonal/>
    </border>
    <border diagonalUp="false" diagonalDown="false">
      <left style="medium"/>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true"/>
    </xf>
    <xf numFmtId="164" fontId="4" fillId="0" borderId="1" xfId="0" applyFont="true" applyBorder="true" applyAlignment="true" applyProtection="true">
      <alignment horizontal="center" vertical="center" textRotation="0" wrapText="false" indent="0" shrinkToFit="false"/>
      <protection locked="true" hidden="true"/>
    </xf>
    <xf numFmtId="164" fontId="5" fillId="2" borderId="2" xfId="0" applyFont="true" applyBorder="true" applyAlignment="true" applyProtection="true">
      <alignment horizontal="general" vertical="center" textRotation="0" wrapText="false" indent="0" shrinkToFit="false"/>
      <protection locked="true" hidden="true"/>
    </xf>
    <xf numFmtId="164" fontId="5" fillId="2" borderId="3" xfId="0" applyFont="true" applyBorder="true" applyAlignment="true" applyProtection="true">
      <alignment horizontal="general" vertical="center" textRotation="0" wrapText="false" indent="0" shrinkToFit="false"/>
      <protection locked="true" hidden="true"/>
    </xf>
    <xf numFmtId="164" fontId="5" fillId="2" borderId="4" xfId="0" applyFont="true" applyBorder="tru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0" fillId="0" borderId="5" xfId="0" applyFont="false" applyBorder="true" applyAlignment="false" applyProtection="true">
      <alignment horizontal="general" vertical="bottom" textRotation="0" wrapText="false" indent="0" shrinkToFit="false"/>
      <protection locked="true" hidden="tru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6" fillId="0" borderId="0" xfId="20" applyFont="true" applyBorder="true" applyAlignment="false" applyProtection="true">
      <alignment horizontal="general" vertical="bottom" textRotation="0" wrapText="false" indent="0" shrinkToFit="false"/>
      <protection locked="false" hidden="false"/>
    </xf>
    <xf numFmtId="164" fontId="0" fillId="0" borderId="6" xfId="0" applyFont="true" applyBorder="true" applyAlignment="true" applyProtection="true">
      <alignment horizontal="general" vertical="bottom" textRotation="0" wrapText="true" indent="0" shrinkToFit="false"/>
      <protection locked="false" hidden="false"/>
    </xf>
    <xf numFmtId="164" fontId="0" fillId="0" borderId="6" xfId="0" applyFont="false" applyBorder="true" applyAlignment="false" applyProtection="true">
      <alignment horizontal="general" vertical="bottom" textRotation="0" wrapText="false" indent="0" shrinkToFit="false"/>
      <protection locked="false" hidden="false"/>
    </xf>
    <xf numFmtId="164" fontId="7" fillId="3" borderId="7" xfId="0" applyFont="true" applyBorder="true" applyAlignment="true" applyProtection="true">
      <alignment horizontal="center" vertical="center" textRotation="0" wrapText="false" indent="0" shrinkToFit="false"/>
      <protection locked="true" hidden="true"/>
    </xf>
    <xf numFmtId="165" fontId="0" fillId="0" borderId="0" xfId="0" applyFont="false" applyBorder="false" applyAlignment="false" applyProtection="true">
      <alignment horizontal="general" vertical="bottom" textRotation="0" wrapText="false" indent="0" shrinkToFit="false"/>
      <protection locked="true" hidden="true"/>
    </xf>
    <xf numFmtId="164" fontId="8" fillId="0" borderId="0" xfId="0" applyFont="true" applyBorder="false" applyAlignment="false" applyProtection="true">
      <alignment horizontal="general" vertical="bottom" textRotation="0" wrapText="false" indent="0" shrinkToFit="false"/>
      <protection locked="true" hidden="true"/>
    </xf>
    <xf numFmtId="164" fontId="9" fillId="0" borderId="0" xfId="0" applyFont="true" applyBorder="false" applyAlignment="false" applyProtection="true">
      <alignment horizontal="general" vertical="bottom" textRotation="0" wrapText="false" indent="0" shrinkToFit="false"/>
      <protection locked="true" hidden="true"/>
    </xf>
    <xf numFmtId="166" fontId="0" fillId="0" borderId="0" xfId="0" applyFont="fals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true">
      <alignment horizontal="center" vertical="bottom" textRotation="0" wrapText="false" indent="0" shrinkToFit="false"/>
      <protection locked="true" hidden="true"/>
    </xf>
    <xf numFmtId="166" fontId="0" fillId="0" borderId="0" xfId="0" applyFont="false" applyBorder="false" applyAlignment="false" applyProtection="true">
      <alignment horizontal="general" vertical="bottom" textRotation="0" wrapText="false" indent="0" shrinkToFit="false"/>
      <protection locked="true" hidden="true"/>
    </xf>
    <xf numFmtId="164" fontId="10" fillId="0" borderId="0" xfId="0" applyFont="tru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false" applyProtection="true">
      <alignment horizontal="general" vertical="bottom" textRotation="0" wrapText="false" indent="0" shrinkToFit="false"/>
      <protection locked="true" hidden="true"/>
    </xf>
    <xf numFmtId="165" fontId="0" fillId="4" borderId="0" xfId="0" applyFont="false" applyBorder="false" applyAlignment="false" applyProtection="true">
      <alignment horizontal="general" vertical="bottom" textRotation="0" wrapText="false" indent="0" shrinkToFit="false"/>
      <protection locked="true" hidden="true"/>
    </xf>
    <xf numFmtId="164" fontId="8" fillId="4" borderId="0" xfId="0" applyFont="true" applyBorder="false" applyAlignment="false" applyProtection="true">
      <alignment horizontal="general" vertical="bottom" textRotation="0" wrapText="false" indent="0" shrinkToFit="false"/>
      <protection locked="true" hidden="tru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true">
      <alignment horizontal="general" vertical="bottom" textRotation="0" wrapText="false" indent="0" shrinkToFit="false"/>
      <protection locked="true" hidden="true"/>
    </xf>
    <xf numFmtId="166" fontId="5" fillId="0" borderId="0" xfId="0" applyFont="true" applyBorder="false" applyAlignment="false" applyProtection="true">
      <alignment horizontal="general" vertical="bottom" textRotation="0" wrapText="false" indent="0" shrinkToFit="false"/>
      <protection locked="true" hidden="tru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9">
    <dxf>
      <fill>
        <patternFill>
          <bgColor rgb="FFFFE699"/>
        </patternFill>
      </fill>
    </dxf>
    <dxf>
      <fill>
        <patternFill>
          <bgColor rgb="FFFF6161"/>
        </patternFill>
      </fill>
    </dxf>
    <dxf>
      <fill>
        <patternFill>
          <bgColor rgb="FFA9D18E"/>
        </patternFill>
      </fill>
    </dxf>
    <dxf>
      <fill>
        <patternFill>
          <bgColor rgb="FFA9D18E"/>
        </patternFill>
      </fill>
    </dxf>
    <dxf>
      <fill>
        <patternFill>
          <bgColor rgb="FFFF5B5B"/>
        </patternFill>
      </fill>
    </dxf>
    <dxf>
      <fill>
        <patternFill>
          <bgColor rgb="FFF4B183"/>
        </patternFill>
      </fill>
    </dxf>
    <dxf>
      <fill>
        <patternFill>
          <bgColor rgb="FFA9D18E"/>
        </patternFill>
      </fill>
    </dxf>
    <dxf>
      <fill>
        <patternFill>
          <bgColor rgb="FFDBDBDB"/>
        </patternFill>
      </fill>
    </dxf>
    <dxf>
      <fill>
        <patternFill>
          <bgColor rgb="FFFF7D7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7D7D"/>
      <rgbColor rgb="FF0563C1"/>
      <rgbColor rgb="FFBDD7EE"/>
      <rgbColor rgb="FF000080"/>
      <rgbColor rgb="FFFF00FF"/>
      <rgbColor rgb="FFFFFF00"/>
      <rgbColor rgb="FF00FFFF"/>
      <rgbColor rgb="FF800080"/>
      <rgbColor rgb="FF800000"/>
      <rgbColor rgb="FF008080"/>
      <rgbColor rgb="FF0000FF"/>
      <rgbColor rgb="FF00CCFF"/>
      <rgbColor rgb="FFCCFFFF"/>
      <rgbColor rgb="FFDBDBDB"/>
      <rgbColor rgb="FFFFE699"/>
      <rgbColor rgb="FF99CCFF"/>
      <rgbColor rgb="FFFF99CC"/>
      <rgbColor rgb="FFCC99FF"/>
      <rgbColor rgb="FFF4B183"/>
      <rgbColor rgb="FF3366FF"/>
      <rgbColor rgb="FF33CCCC"/>
      <rgbColor rgb="FF99CC00"/>
      <rgbColor rgb="FFFFCC00"/>
      <rgbColor rgb="FFFF6161"/>
      <rgbColor rgb="FFFF5B5B"/>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google.fr/"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 activeCellId="0" sqref="E3"/>
    </sheetView>
  </sheetViews>
  <sheetFormatPr defaultColWidth="11.0078125" defaultRowHeight="15.75" zeroHeight="false" outlineLevelRow="0" outlineLevelCol="0"/>
  <cols>
    <col collapsed="false" customWidth="true" hidden="false" outlineLevel="0" max="1" min="1" style="1" width="8.66"/>
    <col collapsed="false" customWidth="true" hidden="false" outlineLevel="0" max="2" min="2" style="1" width="33.83"/>
    <col collapsed="false" customWidth="true" hidden="false" outlineLevel="0" max="3" min="3" style="1" width="23.5"/>
    <col collapsed="false" customWidth="true" hidden="false" outlineLevel="0" max="4" min="4" style="1" width="14"/>
    <col collapsed="false" customWidth="true" hidden="false" outlineLevel="0" max="5" min="5" style="1" width="26.16"/>
    <col collapsed="false" customWidth="true" hidden="false" outlineLevel="0" max="6" min="6" style="1" width="25"/>
    <col collapsed="false" customWidth="true" hidden="false" outlineLevel="0" max="7" min="7" style="1" width="30.5"/>
    <col collapsed="false" customWidth="true" hidden="false" outlineLevel="0" max="8" min="8" style="1" width="29"/>
    <col collapsed="false" customWidth="true" hidden="false" outlineLevel="0" max="9" min="9" style="1" width="16.67"/>
    <col collapsed="false" customWidth="true" hidden="false" outlineLevel="0" max="10" min="10" style="1" width="48.33"/>
    <col collapsed="false" customWidth="false" hidden="false" outlineLevel="0" max="1024" min="11" style="1" width="11"/>
  </cols>
  <sheetData>
    <row r="1" customFormat="false" ht="30.75" hidden="false" customHeight="true" outlineLevel="0" collapsed="false">
      <c r="A1" s="2" t="str">
        <f aca="false">IF(isEmpty, "(empty) You must insert at least one creative", IF(hasBlankLines, "(blank) You have blank lines in the document. Please fill the document without gap", IF(isValid, "(ok) All validation are successful. The sheet is ready to be uploaded", "(invalid) The document contains errors. Please correct the red lines")))</f>
        <v>(ok) All validation are successful. The sheet is ready to be uploaded</v>
      </c>
      <c r="B1" s="2"/>
      <c r="C1" s="2"/>
      <c r="D1" s="2"/>
      <c r="E1" s="2"/>
      <c r="F1" s="2"/>
      <c r="G1" s="2"/>
      <c r="H1" s="2"/>
      <c r="I1" s="2"/>
      <c r="J1" s="2"/>
    </row>
    <row r="2" s="6" customFormat="true" ht="31.5" hidden="false" customHeight="true" outlineLevel="0" collapsed="false">
      <c r="A2" s="3" t="s">
        <v>0</v>
      </c>
      <c r="B2" s="4" t="s">
        <v>1</v>
      </c>
      <c r="C2" s="4" t="s">
        <v>2</v>
      </c>
      <c r="D2" s="4" t="s">
        <v>3</v>
      </c>
      <c r="E2" s="4" t="s">
        <v>4</v>
      </c>
      <c r="F2" s="4" t="s">
        <v>5</v>
      </c>
      <c r="G2" s="4" t="s">
        <v>6</v>
      </c>
      <c r="H2" s="4" t="s">
        <v>7</v>
      </c>
      <c r="I2" s="4" t="s">
        <v>8</v>
      </c>
      <c r="J2" s="5" t="s">
        <v>9</v>
      </c>
    </row>
    <row r="3" customFormat="false" ht="171.6" hidden="false" customHeight="false" outlineLevel="0" collapsed="false">
      <c r="A3" s="7" t="str">
        <f aca="false">IF(validation!A2,IF(validation!N2,"OK","INVALID"),"")</f>
        <v>OK</v>
      </c>
      <c r="B3" s="8" t="s">
        <v>10</v>
      </c>
      <c r="C3" s="8" t="s">
        <v>11</v>
      </c>
      <c r="D3" s="8" t="s">
        <v>12</v>
      </c>
      <c r="E3" s="8" t="s">
        <v>13</v>
      </c>
      <c r="F3" s="9"/>
      <c r="G3" s="10" t="s">
        <v>14</v>
      </c>
      <c r="H3" s="10" t="s">
        <v>15</v>
      </c>
      <c r="I3" s="8" t="s">
        <v>16</v>
      </c>
      <c r="J3" s="11" t="s">
        <v>17</v>
      </c>
      <c r="K3" s="6"/>
    </row>
    <row r="4" customFormat="false" ht="15" hidden="false" customHeight="false" outlineLevel="0" collapsed="false">
      <c r="A4" s="7" t="str">
        <f aca="false">IF(validation!A3,IF(validation!N3,"OK","INVALID"),"")</f>
        <v/>
      </c>
      <c r="B4" s="8"/>
      <c r="C4" s="8"/>
      <c r="D4" s="9"/>
      <c r="E4" s="8"/>
      <c r="F4" s="9"/>
      <c r="G4" s="10"/>
      <c r="H4" s="10"/>
      <c r="I4" s="9"/>
      <c r="J4" s="12"/>
    </row>
    <row r="5" customFormat="false" ht="15" hidden="false" customHeight="false" outlineLevel="0" collapsed="false">
      <c r="A5" s="7" t="str">
        <f aca="false">IF(validation!A4,IF(validation!N4,"OK","INVALID"),"")</f>
        <v/>
      </c>
      <c r="B5" s="8"/>
      <c r="C5" s="8"/>
      <c r="D5" s="9"/>
      <c r="E5" s="8"/>
      <c r="F5" s="9"/>
      <c r="G5" s="10"/>
      <c r="H5" s="10"/>
      <c r="I5" s="9"/>
      <c r="J5" s="12"/>
    </row>
    <row r="6" customFormat="false" ht="15" hidden="false" customHeight="false" outlineLevel="0" collapsed="false">
      <c r="A6" s="7" t="str">
        <f aca="false">IF(validation!A5,IF(validation!N5,"OK","INVALID"),"")</f>
        <v/>
      </c>
      <c r="B6" s="8"/>
      <c r="C6" s="8"/>
      <c r="D6" s="9"/>
      <c r="E6" s="8"/>
      <c r="F6" s="9"/>
      <c r="G6" s="10"/>
      <c r="H6" s="10"/>
      <c r="I6" s="9"/>
      <c r="J6" s="12"/>
    </row>
    <row r="7" customFormat="false" ht="15" hidden="false" customHeight="false" outlineLevel="0" collapsed="false">
      <c r="A7" s="7" t="str">
        <f aca="false">IF(validation!A6,IF(validation!N6,"OK","INVALID"),"")</f>
        <v/>
      </c>
      <c r="B7" s="8"/>
      <c r="C7" s="8"/>
      <c r="D7" s="9"/>
      <c r="E7" s="8"/>
      <c r="F7" s="9"/>
      <c r="G7" s="10"/>
      <c r="H7" s="10"/>
      <c r="I7" s="9"/>
      <c r="J7" s="12"/>
    </row>
    <row r="8" customFormat="false" ht="15" hidden="false" customHeight="false" outlineLevel="0" collapsed="false">
      <c r="A8" s="7" t="str">
        <f aca="false">IF(validation!A7,IF(validation!N7,"OK","INVALID"),"")</f>
        <v/>
      </c>
      <c r="B8" s="8"/>
      <c r="C8" s="8"/>
      <c r="D8" s="9"/>
      <c r="E8" s="8"/>
      <c r="F8" s="9"/>
      <c r="G8" s="10"/>
      <c r="H8" s="10"/>
      <c r="I8" s="9"/>
      <c r="J8" s="12"/>
    </row>
    <row r="9" customFormat="false" ht="15" hidden="false" customHeight="false" outlineLevel="0" collapsed="false">
      <c r="A9" s="7" t="str">
        <f aca="false">IF(validation!A8,IF(validation!N8,"OK","INVALID"),"")</f>
        <v/>
      </c>
      <c r="B9" s="8"/>
      <c r="C9" s="8"/>
      <c r="D9" s="9"/>
      <c r="E9" s="8"/>
      <c r="F9" s="9"/>
      <c r="G9" s="10"/>
      <c r="H9" s="10"/>
      <c r="I9" s="9"/>
      <c r="J9" s="12"/>
    </row>
    <row r="10" customFormat="false" ht="15" hidden="false" customHeight="false" outlineLevel="0" collapsed="false">
      <c r="A10" s="7" t="str">
        <f aca="false">IF(validation!A9,IF(validation!N9,"OK","INVALID"),"")</f>
        <v/>
      </c>
      <c r="B10" s="8"/>
      <c r="C10" s="8"/>
      <c r="D10" s="9"/>
      <c r="E10" s="8"/>
      <c r="F10" s="9"/>
      <c r="G10" s="10"/>
      <c r="H10" s="10"/>
      <c r="I10" s="9"/>
      <c r="J10" s="12"/>
    </row>
    <row r="11" customFormat="false" ht="15" hidden="false" customHeight="false" outlineLevel="0" collapsed="false">
      <c r="A11" s="7" t="str">
        <f aca="false">IF(validation!A10,IF(validation!N10,"OK","INVALID"),"")</f>
        <v/>
      </c>
      <c r="B11" s="8"/>
      <c r="C11" s="8"/>
      <c r="D11" s="9"/>
      <c r="E11" s="8"/>
      <c r="F11" s="9"/>
      <c r="G11" s="10"/>
      <c r="H11" s="10"/>
      <c r="I11" s="9"/>
      <c r="J11" s="12"/>
    </row>
    <row r="12" customFormat="false" ht="15" hidden="false" customHeight="false" outlineLevel="0" collapsed="false">
      <c r="A12" s="7" t="str">
        <f aca="false">IF(validation!A11,IF(validation!N11,"OK","INVALID"),"")</f>
        <v/>
      </c>
      <c r="B12" s="8"/>
      <c r="C12" s="8"/>
      <c r="D12" s="9"/>
      <c r="E12" s="8"/>
      <c r="F12" s="9"/>
      <c r="G12" s="10"/>
      <c r="H12" s="10"/>
      <c r="I12" s="9"/>
      <c r="J12" s="12"/>
    </row>
    <row r="13" customFormat="false" ht="15" hidden="false" customHeight="false" outlineLevel="0" collapsed="false">
      <c r="A13" s="7" t="str">
        <f aca="false">IF(validation!A12,IF(validation!N12,"OK","INVALID"),"")</f>
        <v/>
      </c>
      <c r="B13" s="8"/>
      <c r="C13" s="8"/>
      <c r="D13" s="9"/>
      <c r="E13" s="8"/>
      <c r="F13" s="9"/>
      <c r="G13" s="10"/>
      <c r="H13" s="10"/>
      <c r="I13" s="9"/>
      <c r="J13" s="12"/>
    </row>
    <row r="14" customFormat="false" ht="15" hidden="false" customHeight="false" outlineLevel="0" collapsed="false">
      <c r="A14" s="7" t="str">
        <f aca="false">IF(validation!A13,IF(validation!N13,"OK","INVALID"),"")</f>
        <v/>
      </c>
      <c r="B14" s="8"/>
      <c r="C14" s="8"/>
      <c r="D14" s="9"/>
      <c r="E14" s="8"/>
      <c r="F14" s="9"/>
      <c r="G14" s="10"/>
      <c r="H14" s="10"/>
      <c r="I14" s="9"/>
      <c r="J14" s="12"/>
    </row>
    <row r="15" customFormat="false" ht="15" hidden="false" customHeight="false" outlineLevel="0" collapsed="false">
      <c r="A15" s="7" t="str">
        <f aca="false">IF(validation!A14,IF(validation!N14,"OK","INVALID"),"")</f>
        <v/>
      </c>
      <c r="B15" s="8"/>
      <c r="C15" s="8"/>
      <c r="D15" s="9"/>
      <c r="E15" s="8"/>
      <c r="F15" s="9"/>
      <c r="G15" s="10"/>
      <c r="H15" s="10"/>
      <c r="I15" s="9"/>
      <c r="J15" s="12"/>
    </row>
    <row r="16" customFormat="false" ht="15" hidden="false" customHeight="false" outlineLevel="0" collapsed="false">
      <c r="A16" s="7" t="str">
        <f aca="false">IF(validation!A15,IF(validation!N15,"OK","INVALID"),"")</f>
        <v/>
      </c>
      <c r="B16" s="8"/>
      <c r="C16" s="8"/>
      <c r="D16" s="9"/>
      <c r="E16" s="8"/>
      <c r="F16" s="9"/>
      <c r="G16" s="10"/>
      <c r="H16" s="10"/>
      <c r="I16" s="9"/>
      <c r="J16" s="12"/>
    </row>
    <row r="17" customFormat="false" ht="15" hidden="false" customHeight="false" outlineLevel="0" collapsed="false">
      <c r="A17" s="7" t="str">
        <f aca="false">IF(validation!A16,IF(validation!N16,"OK","INVALID"),"")</f>
        <v/>
      </c>
      <c r="B17" s="8"/>
      <c r="C17" s="8"/>
      <c r="D17" s="9"/>
      <c r="E17" s="8"/>
      <c r="F17" s="9"/>
      <c r="G17" s="8"/>
      <c r="H17" s="8"/>
      <c r="I17" s="9"/>
      <c r="J17" s="12"/>
    </row>
    <row r="18" customFormat="false" ht="15" hidden="false" customHeight="false" outlineLevel="0" collapsed="false">
      <c r="A18" s="7" t="str">
        <f aca="false">IF(validation!A17,IF(validation!N17,"OK","INVALID"),"")</f>
        <v/>
      </c>
      <c r="B18" s="8"/>
      <c r="C18" s="8"/>
      <c r="D18" s="9"/>
      <c r="E18" s="8"/>
      <c r="F18" s="9"/>
      <c r="G18" s="8"/>
      <c r="H18" s="8"/>
      <c r="I18" s="9"/>
      <c r="J18" s="12"/>
    </row>
    <row r="19" customFormat="false" ht="15" hidden="false" customHeight="false" outlineLevel="0" collapsed="false">
      <c r="A19" s="7" t="str">
        <f aca="false">IF(validation!A18,IF(validation!N18,"OK","INVALID"),"")</f>
        <v/>
      </c>
      <c r="B19" s="8"/>
      <c r="C19" s="8"/>
      <c r="D19" s="9"/>
      <c r="E19" s="8"/>
      <c r="F19" s="9"/>
      <c r="G19" s="8"/>
      <c r="H19" s="8"/>
      <c r="I19" s="9"/>
      <c r="J19" s="12"/>
    </row>
    <row r="20" customFormat="false" ht="15" hidden="false" customHeight="false" outlineLevel="0" collapsed="false">
      <c r="A20" s="7" t="str">
        <f aca="false">IF(validation!A19,IF(validation!N19,"OK","INVALID"),"")</f>
        <v/>
      </c>
      <c r="B20" s="8"/>
      <c r="C20" s="8"/>
      <c r="D20" s="9"/>
      <c r="E20" s="8"/>
      <c r="F20" s="9"/>
      <c r="G20" s="10"/>
      <c r="H20" s="10"/>
      <c r="I20" s="9"/>
      <c r="J20" s="12"/>
    </row>
    <row r="21" customFormat="false" ht="15" hidden="false" customHeight="false" outlineLevel="0" collapsed="false">
      <c r="A21" s="7" t="str">
        <f aca="false">IF(validation!A20,IF(validation!N20,"OK","INVALID"),"")</f>
        <v/>
      </c>
      <c r="B21" s="8"/>
      <c r="C21" s="8"/>
      <c r="D21" s="9"/>
      <c r="E21" s="8"/>
      <c r="F21" s="9"/>
      <c r="G21" s="10"/>
      <c r="H21" s="10"/>
      <c r="I21" s="9"/>
      <c r="J21" s="12"/>
    </row>
    <row r="22" customFormat="false" ht="15" hidden="false" customHeight="false" outlineLevel="0" collapsed="false">
      <c r="A22" s="7" t="str">
        <f aca="false">IF(validation!A21,IF(validation!N21,"OK","INVALID"),"")</f>
        <v/>
      </c>
      <c r="B22" s="8"/>
      <c r="C22" s="8"/>
      <c r="D22" s="9"/>
      <c r="E22" s="8"/>
      <c r="F22" s="9"/>
      <c r="G22" s="8"/>
      <c r="H22" s="8"/>
      <c r="I22" s="9"/>
      <c r="J22" s="12"/>
    </row>
    <row r="23" customFormat="false" ht="15" hidden="false" customHeight="false" outlineLevel="0" collapsed="false">
      <c r="A23" s="7" t="str">
        <f aca="false">IF(validation!A22,IF(validation!N22,"OK","INVALID"),"")</f>
        <v/>
      </c>
      <c r="B23" s="8"/>
      <c r="C23" s="8"/>
      <c r="D23" s="9"/>
      <c r="E23" s="8"/>
      <c r="F23" s="9"/>
      <c r="G23" s="8"/>
      <c r="H23" s="8"/>
      <c r="I23" s="9"/>
      <c r="J23" s="12"/>
    </row>
    <row r="24" customFormat="false" ht="15" hidden="false" customHeight="false" outlineLevel="0" collapsed="false">
      <c r="A24" s="7" t="str">
        <f aca="false">IF(validation!A23,IF(validation!N23,"OK","INVALID"),"")</f>
        <v/>
      </c>
      <c r="B24" s="8"/>
      <c r="C24" s="8"/>
      <c r="D24" s="9"/>
      <c r="E24" s="8"/>
      <c r="F24" s="9"/>
      <c r="G24" s="8"/>
      <c r="H24" s="8"/>
      <c r="I24" s="9"/>
      <c r="J24" s="12"/>
    </row>
    <row r="25" customFormat="false" ht="15" hidden="false" customHeight="false" outlineLevel="0" collapsed="false">
      <c r="A25" s="7" t="str">
        <f aca="false">IF(validation!A24,IF(validation!N24,"OK","INVALID"),"")</f>
        <v/>
      </c>
      <c r="B25" s="8"/>
      <c r="C25" s="8"/>
      <c r="D25" s="9"/>
      <c r="E25" s="8"/>
      <c r="F25" s="9"/>
      <c r="G25" s="8"/>
      <c r="H25" s="8"/>
      <c r="I25" s="9"/>
      <c r="J25" s="12"/>
    </row>
    <row r="26" customFormat="false" ht="15" hidden="false" customHeight="false" outlineLevel="0" collapsed="false">
      <c r="A26" s="7" t="str">
        <f aca="false">IF(validation!A25,IF(validation!N25,"OK","INVALID"),"")</f>
        <v/>
      </c>
      <c r="B26" s="8"/>
      <c r="C26" s="8"/>
      <c r="D26" s="9"/>
      <c r="E26" s="8"/>
      <c r="F26" s="9"/>
      <c r="G26" s="8"/>
      <c r="H26" s="8"/>
      <c r="I26" s="9"/>
      <c r="J26" s="12"/>
    </row>
    <row r="27" customFormat="false" ht="15" hidden="false" customHeight="false" outlineLevel="0" collapsed="false">
      <c r="A27" s="7" t="str">
        <f aca="false">IF(validation!A26,IF(validation!N26,"OK","INVALID"),"")</f>
        <v/>
      </c>
      <c r="B27" s="8"/>
      <c r="C27" s="8"/>
      <c r="D27" s="9"/>
      <c r="E27" s="8"/>
      <c r="F27" s="9"/>
      <c r="G27" s="8"/>
      <c r="H27" s="8"/>
      <c r="I27" s="9"/>
      <c r="J27" s="12"/>
    </row>
    <row r="28" customFormat="false" ht="15" hidden="false" customHeight="false" outlineLevel="0" collapsed="false">
      <c r="A28" s="7" t="str">
        <f aca="false">IF(validation!A27,IF(validation!N27,"OK","INVALID"),"")</f>
        <v/>
      </c>
      <c r="B28" s="8"/>
      <c r="C28" s="8"/>
      <c r="D28" s="9"/>
      <c r="E28" s="8"/>
      <c r="F28" s="9"/>
      <c r="G28" s="8"/>
      <c r="H28" s="8"/>
      <c r="I28" s="9"/>
      <c r="J28" s="12"/>
    </row>
    <row r="29" customFormat="false" ht="15" hidden="false" customHeight="false" outlineLevel="0" collapsed="false">
      <c r="A29" s="7" t="str">
        <f aca="false">IF(validation!A28,IF(validation!N28,"OK","INVALID"),"")</f>
        <v/>
      </c>
      <c r="B29" s="8"/>
      <c r="C29" s="8"/>
      <c r="D29" s="9"/>
      <c r="E29" s="8"/>
      <c r="F29" s="9"/>
      <c r="G29" s="8"/>
      <c r="H29" s="8"/>
      <c r="I29" s="9"/>
      <c r="J29" s="12"/>
    </row>
    <row r="30" customFormat="false" ht="15" hidden="false" customHeight="false" outlineLevel="0" collapsed="false">
      <c r="A30" s="7" t="str">
        <f aca="false">IF(validation!A29,IF(validation!N29,"OK","INVALID"),"")</f>
        <v/>
      </c>
      <c r="B30" s="8"/>
      <c r="C30" s="8"/>
      <c r="D30" s="9"/>
      <c r="E30" s="8"/>
      <c r="F30" s="9"/>
      <c r="G30" s="8"/>
      <c r="H30" s="8"/>
      <c r="I30" s="9"/>
      <c r="J30" s="12"/>
    </row>
    <row r="31" customFormat="false" ht="15" hidden="false" customHeight="false" outlineLevel="0" collapsed="false">
      <c r="A31" s="7" t="str">
        <f aca="false">IF(validation!A30,IF(validation!N30,"OK","INVALID"),"")</f>
        <v/>
      </c>
      <c r="B31" s="8"/>
      <c r="C31" s="8"/>
      <c r="D31" s="9"/>
      <c r="E31" s="8"/>
      <c r="F31" s="9"/>
      <c r="G31" s="8"/>
      <c r="H31" s="8"/>
      <c r="I31" s="9"/>
      <c r="J31" s="12"/>
    </row>
    <row r="32" customFormat="false" ht="15" hidden="false" customHeight="false" outlineLevel="0" collapsed="false">
      <c r="A32" s="7" t="str">
        <f aca="false">IF(validation!A31,IF(validation!N31,"OK","INVALID"),"")</f>
        <v/>
      </c>
      <c r="B32" s="8"/>
      <c r="C32" s="8"/>
      <c r="D32" s="9"/>
      <c r="E32" s="8"/>
      <c r="F32" s="9"/>
      <c r="G32" s="8"/>
      <c r="H32" s="8"/>
      <c r="I32" s="9"/>
      <c r="J32" s="12"/>
    </row>
    <row r="33" customFormat="false" ht="15" hidden="false" customHeight="false" outlineLevel="0" collapsed="false">
      <c r="A33" s="7" t="str">
        <f aca="false">IF(validation!A32,IF(validation!N32,"OK","INVALID"),"")</f>
        <v/>
      </c>
      <c r="B33" s="8"/>
      <c r="C33" s="8"/>
      <c r="D33" s="9"/>
      <c r="E33" s="8"/>
      <c r="F33" s="9"/>
      <c r="G33" s="8"/>
      <c r="H33" s="8"/>
      <c r="I33" s="9"/>
      <c r="J33" s="12"/>
    </row>
    <row r="34" customFormat="false" ht="15" hidden="false" customHeight="false" outlineLevel="0" collapsed="false">
      <c r="A34" s="7" t="str">
        <f aca="false">IF(validation!A33,IF(validation!N33,"OK","INVALID"),"")</f>
        <v/>
      </c>
      <c r="B34" s="8"/>
      <c r="C34" s="8"/>
      <c r="D34" s="9"/>
      <c r="E34" s="8"/>
      <c r="F34" s="9"/>
      <c r="G34" s="8"/>
      <c r="H34" s="8"/>
      <c r="I34" s="9"/>
      <c r="J34" s="12"/>
    </row>
    <row r="35" customFormat="false" ht="15" hidden="false" customHeight="false" outlineLevel="0" collapsed="false">
      <c r="A35" s="7" t="str">
        <f aca="false">IF(validation!A34,IF(validation!N34,"OK","INVALID"),"")</f>
        <v/>
      </c>
      <c r="B35" s="8"/>
      <c r="C35" s="8"/>
      <c r="D35" s="9"/>
      <c r="E35" s="8"/>
      <c r="F35" s="9"/>
      <c r="G35" s="8"/>
      <c r="H35" s="8"/>
      <c r="I35" s="9"/>
      <c r="J35" s="12"/>
    </row>
    <row r="36" customFormat="false" ht="15" hidden="false" customHeight="false" outlineLevel="0" collapsed="false">
      <c r="A36" s="7" t="str">
        <f aca="false">IF(validation!A35,IF(validation!N35,"OK","INVALID"),"")</f>
        <v/>
      </c>
      <c r="B36" s="8"/>
      <c r="C36" s="8"/>
      <c r="D36" s="9"/>
      <c r="E36" s="8"/>
      <c r="F36" s="9"/>
      <c r="G36" s="8"/>
      <c r="H36" s="8"/>
      <c r="I36" s="9"/>
      <c r="J36" s="12"/>
    </row>
    <row r="37" customFormat="false" ht="15" hidden="false" customHeight="false" outlineLevel="0" collapsed="false">
      <c r="A37" s="7" t="str">
        <f aca="false">IF(validation!A36,IF(validation!N36,"OK","INVALID"),"")</f>
        <v/>
      </c>
      <c r="B37" s="8"/>
      <c r="C37" s="8"/>
      <c r="D37" s="9"/>
      <c r="E37" s="8"/>
      <c r="F37" s="9"/>
      <c r="G37" s="8"/>
      <c r="H37" s="8"/>
      <c r="I37" s="9"/>
      <c r="J37" s="12"/>
    </row>
    <row r="38" customFormat="false" ht="15" hidden="false" customHeight="false" outlineLevel="0" collapsed="false">
      <c r="A38" s="7" t="str">
        <f aca="false">IF(validation!A37,IF(validation!N37,"OK","INVALID"),"")</f>
        <v/>
      </c>
      <c r="B38" s="8"/>
      <c r="C38" s="8"/>
      <c r="D38" s="9"/>
      <c r="E38" s="8"/>
      <c r="F38" s="9"/>
      <c r="G38" s="8"/>
      <c r="H38" s="8"/>
      <c r="I38" s="9"/>
      <c r="J38" s="12"/>
    </row>
    <row r="39" customFormat="false" ht="15" hidden="false" customHeight="false" outlineLevel="0" collapsed="false">
      <c r="A39" s="7" t="str">
        <f aca="false">IF(validation!A38,IF(validation!N38,"OK","INVALID"),"")</f>
        <v/>
      </c>
      <c r="B39" s="8"/>
      <c r="C39" s="8"/>
      <c r="D39" s="9"/>
      <c r="E39" s="8"/>
      <c r="F39" s="9"/>
      <c r="G39" s="8"/>
      <c r="H39" s="8"/>
      <c r="I39" s="9"/>
      <c r="J39" s="12"/>
    </row>
    <row r="40" customFormat="false" ht="15" hidden="false" customHeight="false" outlineLevel="0" collapsed="false">
      <c r="A40" s="7" t="str">
        <f aca="false">IF(validation!A39,IF(validation!N39,"OK","INVALID"),"")</f>
        <v/>
      </c>
      <c r="B40" s="8"/>
      <c r="C40" s="8"/>
      <c r="D40" s="9"/>
      <c r="E40" s="8"/>
      <c r="F40" s="9"/>
      <c r="G40" s="8"/>
      <c r="H40" s="8"/>
      <c r="I40" s="9"/>
      <c r="J40" s="12"/>
    </row>
    <row r="41" customFormat="false" ht="15" hidden="false" customHeight="false" outlineLevel="0" collapsed="false">
      <c r="A41" s="7" t="str">
        <f aca="false">IF(validation!A40,IF(validation!N40,"OK","INVALID"),"")</f>
        <v/>
      </c>
      <c r="B41" s="8"/>
      <c r="C41" s="8"/>
      <c r="D41" s="9"/>
      <c r="E41" s="8"/>
      <c r="F41" s="9"/>
      <c r="G41" s="8"/>
      <c r="H41" s="8"/>
      <c r="I41" s="9"/>
      <c r="J41" s="12"/>
    </row>
    <row r="42" customFormat="false" ht="15" hidden="false" customHeight="false" outlineLevel="0" collapsed="false">
      <c r="A42" s="7" t="str">
        <f aca="false">IF(validation!A41,IF(validation!N41,"OK","INVALID"),"")</f>
        <v/>
      </c>
      <c r="B42" s="8"/>
      <c r="C42" s="8"/>
      <c r="D42" s="9"/>
      <c r="E42" s="8"/>
      <c r="F42" s="9"/>
      <c r="G42" s="8"/>
      <c r="H42" s="8"/>
      <c r="I42" s="9"/>
      <c r="J42" s="12"/>
    </row>
    <row r="43" customFormat="false" ht="15" hidden="false" customHeight="false" outlineLevel="0" collapsed="false">
      <c r="A43" s="7" t="str">
        <f aca="false">IF(validation!A42,IF(validation!N42,"OK","INVALID"),"")</f>
        <v/>
      </c>
      <c r="B43" s="8"/>
      <c r="C43" s="8"/>
      <c r="D43" s="9"/>
      <c r="E43" s="8"/>
      <c r="F43" s="9"/>
      <c r="G43" s="8"/>
      <c r="H43" s="8"/>
      <c r="I43" s="9"/>
      <c r="J43" s="12"/>
    </row>
    <row r="44" customFormat="false" ht="15" hidden="false" customHeight="false" outlineLevel="0" collapsed="false">
      <c r="A44" s="7" t="str">
        <f aca="false">IF(validation!A43,IF(validation!N43,"OK","INVALID"),"")</f>
        <v/>
      </c>
      <c r="B44" s="8"/>
      <c r="C44" s="8"/>
      <c r="D44" s="9"/>
      <c r="E44" s="8"/>
      <c r="F44" s="9"/>
      <c r="G44" s="8"/>
      <c r="H44" s="8"/>
      <c r="I44" s="9"/>
      <c r="J44" s="12"/>
    </row>
    <row r="45" customFormat="false" ht="15" hidden="false" customHeight="false" outlineLevel="0" collapsed="false">
      <c r="A45" s="7" t="str">
        <f aca="false">IF(validation!A44,IF(validation!N44,"OK","INVALID"),"")</f>
        <v/>
      </c>
      <c r="B45" s="8"/>
      <c r="C45" s="8"/>
      <c r="D45" s="9"/>
      <c r="E45" s="8"/>
      <c r="F45" s="9"/>
      <c r="G45" s="8"/>
      <c r="H45" s="8"/>
      <c r="I45" s="9"/>
      <c r="J45" s="12"/>
    </row>
    <row r="46" customFormat="false" ht="15" hidden="false" customHeight="false" outlineLevel="0" collapsed="false">
      <c r="A46" s="7" t="str">
        <f aca="false">IF(validation!A45,IF(validation!N45,"OK","INVALID"),"")</f>
        <v/>
      </c>
      <c r="B46" s="8"/>
      <c r="C46" s="8"/>
      <c r="D46" s="9"/>
      <c r="E46" s="8"/>
      <c r="F46" s="9"/>
      <c r="G46" s="8"/>
      <c r="H46" s="8"/>
      <c r="I46" s="9"/>
      <c r="J46" s="12"/>
    </row>
    <row r="47" customFormat="false" ht="15" hidden="false" customHeight="false" outlineLevel="0" collapsed="false">
      <c r="A47" s="7" t="str">
        <f aca="false">IF(validation!A46,IF(validation!N46,"OK","INVALID"),"")</f>
        <v/>
      </c>
      <c r="B47" s="8"/>
      <c r="C47" s="8"/>
      <c r="D47" s="9"/>
      <c r="E47" s="8"/>
      <c r="F47" s="9"/>
      <c r="G47" s="8"/>
      <c r="H47" s="8"/>
      <c r="I47" s="9"/>
      <c r="J47" s="12"/>
    </row>
    <row r="48" customFormat="false" ht="15" hidden="false" customHeight="false" outlineLevel="0" collapsed="false">
      <c r="A48" s="7" t="str">
        <f aca="false">IF(validation!A47,IF(validation!N47,"OK","INVALID"),"")</f>
        <v/>
      </c>
      <c r="B48" s="8"/>
      <c r="C48" s="8"/>
      <c r="D48" s="9"/>
      <c r="E48" s="8"/>
      <c r="F48" s="9"/>
      <c r="G48" s="8"/>
      <c r="H48" s="8"/>
      <c r="I48" s="9"/>
      <c r="J48" s="12"/>
    </row>
    <row r="49" customFormat="false" ht="15" hidden="false" customHeight="false" outlineLevel="0" collapsed="false">
      <c r="A49" s="7" t="str">
        <f aca="false">IF(validation!A48,IF(validation!N48,"OK","INVALID"),"")</f>
        <v/>
      </c>
      <c r="B49" s="8"/>
      <c r="C49" s="8"/>
      <c r="D49" s="9"/>
      <c r="E49" s="8"/>
      <c r="F49" s="9"/>
      <c r="G49" s="8"/>
      <c r="H49" s="8"/>
      <c r="I49" s="9"/>
      <c r="J49" s="12"/>
    </row>
    <row r="50" customFormat="false" ht="15" hidden="false" customHeight="false" outlineLevel="0" collapsed="false">
      <c r="A50" s="7" t="str">
        <f aca="false">IF(validation!A49,IF(validation!N49,"OK","INVALID"),"")</f>
        <v/>
      </c>
      <c r="B50" s="8"/>
      <c r="C50" s="8"/>
      <c r="D50" s="9"/>
      <c r="E50" s="8"/>
      <c r="F50" s="9"/>
      <c r="G50" s="8"/>
      <c r="H50" s="8"/>
      <c r="I50" s="9"/>
      <c r="J50" s="12"/>
    </row>
    <row r="51" customFormat="false" ht="15" hidden="false" customHeight="false" outlineLevel="0" collapsed="false">
      <c r="A51" s="7" t="str">
        <f aca="false">IF(validation!A50,IF(validation!N50,"OK","INVALID"),"")</f>
        <v/>
      </c>
      <c r="B51" s="8"/>
      <c r="C51" s="8"/>
      <c r="D51" s="9"/>
      <c r="E51" s="8"/>
      <c r="F51" s="9"/>
      <c r="G51" s="8"/>
      <c r="H51" s="8"/>
      <c r="I51" s="9"/>
      <c r="J51" s="12"/>
    </row>
    <row r="52" customFormat="false" ht="15" hidden="false" customHeight="false" outlineLevel="0" collapsed="false">
      <c r="A52" s="7" t="str">
        <f aca="false">IF(validation!A51,IF(validation!N51,"OK","INVALID"),"")</f>
        <v/>
      </c>
      <c r="B52" s="8"/>
      <c r="C52" s="8"/>
      <c r="D52" s="9"/>
      <c r="E52" s="8"/>
      <c r="F52" s="9"/>
      <c r="G52" s="8"/>
      <c r="H52" s="8"/>
      <c r="I52" s="9"/>
      <c r="J52" s="12"/>
    </row>
    <row r="53" customFormat="false" ht="15" hidden="false" customHeight="false" outlineLevel="0" collapsed="false">
      <c r="A53" s="7" t="str">
        <f aca="false">IF(validation!A52,IF(validation!N52,"OK","INVALID"),"")</f>
        <v/>
      </c>
      <c r="B53" s="8"/>
      <c r="C53" s="8"/>
      <c r="D53" s="9"/>
      <c r="E53" s="8"/>
      <c r="F53" s="9"/>
      <c r="G53" s="8"/>
      <c r="H53" s="8"/>
      <c r="I53" s="9"/>
      <c r="J53" s="12"/>
    </row>
    <row r="54" customFormat="false" ht="15" hidden="false" customHeight="false" outlineLevel="0" collapsed="false">
      <c r="A54" s="7" t="str">
        <f aca="false">IF(validation!A53,IF(validation!N53,"OK","INVALID"),"")</f>
        <v/>
      </c>
      <c r="B54" s="8"/>
      <c r="C54" s="8"/>
      <c r="D54" s="9"/>
      <c r="E54" s="8"/>
      <c r="F54" s="9"/>
      <c r="G54" s="8"/>
      <c r="H54" s="8"/>
      <c r="I54" s="9"/>
      <c r="J54" s="12"/>
    </row>
    <row r="55" customFormat="false" ht="15" hidden="false" customHeight="false" outlineLevel="0" collapsed="false">
      <c r="A55" s="7" t="str">
        <f aca="false">IF(validation!A54,IF(validation!N54,"OK","INVALID"),"")</f>
        <v/>
      </c>
      <c r="B55" s="8"/>
      <c r="C55" s="8"/>
      <c r="D55" s="9"/>
      <c r="E55" s="8"/>
      <c r="F55" s="9"/>
      <c r="G55" s="8"/>
      <c r="H55" s="8"/>
      <c r="I55" s="9"/>
      <c r="J55" s="12"/>
    </row>
    <row r="56" customFormat="false" ht="15" hidden="false" customHeight="false" outlineLevel="0" collapsed="false">
      <c r="A56" s="7" t="str">
        <f aca="false">IF(validation!A55,IF(validation!N55,"OK","INVALID"),"")</f>
        <v/>
      </c>
      <c r="B56" s="8"/>
      <c r="C56" s="8"/>
      <c r="D56" s="9"/>
      <c r="E56" s="8"/>
      <c r="F56" s="9"/>
      <c r="G56" s="8"/>
      <c r="H56" s="8"/>
      <c r="I56" s="9"/>
      <c r="J56" s="12"/>
    </row>
    <row r="57" customFormat="false" ht="15" hidden="false" customHeight="false" outlineLevel="0" collapsed="false">
      <c r="A57" s="7" t="str">
        <f aca="false">IF(validation!A56,IF(validation!N56,"OK","INVALID"),"")</f>
        <v/>
      </c>
      <c r="B57" s="8"/>
      <c r="C57" s="8"/>
      <c r="D57" s="9"/>
      <c r="E57" s="8"/>
      <c r="F57" s="9"/>
      <c r="G57" s="8"/>
      <c r="H57" s="8"/>
      <c r="I57" s="9"/>
      <c r="J57" s="12"/>
    </row>
    <row r="58" customFormat="false" ht="15" hidden="false" customHeight="false" outlineLevel="0" collapsed="false">
      <c r="A58" s="7" t="str">
        <f aca="false">IF(validation!A57,IF(validation!N57,"OK","INVALID"),"")</f>
        <v/>
      </c>
      <c r="B58" s="8"/>
      <c r="C58" s="8"/>
      <c r="D58" s="9"/>
      <c r="E58" s="8"/>
      <c r="F58" s="9"/>
      <c r="G58" s="8"/>
      <c r="H58" s="8"/>
      <c r="I58" s="9"/>
      <c r="J58" s="12"/>
    </row>
    <row r="59" customFormat="false" ht="15" hidden="false" customHeight="false" outlineLevel="0" collapsed="false">
      <c r="A59" s="7" t="str">
        <f aca="false">IF(validation!A58,IF(validation!N58,"OK","INVALID"),"")</f>
        <v/>
      </c>
      <c r="B59" s="8"/>
      <c r="C59" s="8"/>
      <c r="D59" s="9"/>
      <c r="E59" s="8"/>
      <c r="F59" s="9"/>
      <c r="G59" s="8"/>
      <c r="H59" s="8"/>
      <c r="I59" s="9"/>
      <c r="J59" s="12"/>
    </row>
    <row r="60" customFormat="false" ht="15" hidden="false" customHeight="false" outlineLevel="0" collapsed="false">
      <c r="A60" s="7" t="str">
        <f aca="false">IF(validation!A59,IF(validation!N59,"OK","INVALID"),"")</f>
        <v/>
      </c>
      <c r="B60" s="8"/>
      <c r="C60" s="8"/>
      <c r="D60" s="9"/>
      <c r="E60" s="8"/>
      <c r="F60" s="9"/>
      <c r="G60" s="8"/>
      <c r="H60" s="8"/>
      <c r="I60" s="9"/>
      <c r="J60" s="12"/>
    </row>
    <row r="61" customFormat="false" ht="15" hidden="false" customHeight="false" outlineLevel="0" collapsed="false">
      <c r="A61" s="7" t="str">
        <f aca="false">IF(validation!A60,IF(validation!N60,"OK","INVALID"),"")</f>
        <v/>
      </c>
      <c r="B61" s="8"/>
      <c r="C61" s="8"/>
      <c r="D61" s="9"/>
      <c r="E61" s="8"/>
      <c r="F61" s="9"/>
      <c r="G61" s="8"/>
      <c r="H61" s="8"/>
      <c r="I61" s="9"/>
      <c r="J61" s="12"/>
    </row>
    <row r="62" customFormat="false" ht="15" hidden="false" customHeight="false" outlineLevel="0" collapsed="false">
      <c r="A62" s="7" t="str">
        <f aca="false">IF(validation!A61,IF(validation!N61,"OK","INVALID"),"")</f>
        <v/>
      </c>
      <c r="B62" s="8"/>
      <c r="C62" s="8"/>
      <c r="D62" s="9"/>
      <c r="E62" s="8"/>
      <c r="F62" s="9"/>
      <c r="G62" s="8"/>
      <c r="H62" s="8"/>
      <c r="I62" s="9"/>
      <c r="J62" s="12"/>
    </row>
    <row r="63" customFormat="false" ht="15" hidden="false" customHeight="false" outlineLevel="0" collapsed="false">
      <c r="A63" s="7" t="str">
        <f aca="false">IF(validation!A62,IF(validation!N62,"OK","INVALID"),"")</f>
        <v/>
      </c>
      <c r="B63" s="8"/>
      <c r="C63" s="8"/>
      <c r="D63" s="9"/>
      <c r="E63" s="8"/>
      <c r="F63" s="9"/>
      <c r="G63" s="8"/>
      <c r="H63" s="8"/>
      <c r="I63" s="9"/>
      <c r="J63" s="12"/>
    </row>
    <row r="64" customFormat="false" ht="15" hidden="false" customHeight="false" outlineLevel="0" collapsed="false">
      <c r="A64" s="7" t="str">
        <f aca="false">IF(validation!A63,IF(validation!N63,"OK","INVALID"),"")</f>
        <v/>
      </c>
      <c r="B64" s="8"/>
      <c r="C64" s="8"/>
      <c r="D64" s="9"/>
      <c r="E64" s="8"/>
      <c r="F64" s="9"/>
      <c r="G64" s="8"/>
      <c r="H64" s="8"/>
      <c r="I64" s="9"/>
      <c r="J64" s="12"/>
    </row>
    <row r="65" customFormat="false" ht="15" hidden="false" customHeight="false" outlineLevel="0" collapsed="false">
      <c r="A65" s="7" t="str">
        <f aca="false">IF(validation!A64,IF(validation!N64,"OK","INVALID"),"")</f>
        <v/>
      </c>
      <c r="B65" s="8"/>
      <c r="C65" s="8"/>
      <c r="D65" s="9"/>
      <c r="E65" s="8"/>
      <c r="F65" s="9"/>
      <c r="G65" s="8"/>
      <c r="H65" s="8"/>
      <c r="I65" s="9"/>
      <c r="J65" s="12"/>
    </row>
    <row r="66" customFormat="false" ht="15" hidden="false" customHeight="false" outlineLevel="0" collapsed="false">
      <c r="A66" s="7" t="str">
        <f aca="false">IF(validation!A65,IF(validation!N65,"OK","INVALID"),"")</f>
        <v/>
      </c>
      <c r="B66" s="8"/>
      <c r="C66" s="8"/>
      <c r="D66" s="9"/>
      <c r="E66" s="8"/>
      <c r="F66" s="9"/>
      <c r="G66" s="8"/>
      <c r="H66" s="8"/>
      <c r="I66" s="9"/>
      <c r="J66" s="12"/>
    </row>
    <row r="67" customFormat="false" ht="15" hidden="false" customHeight="false" outlineLevel="0" collapsed="false">
      <c r="A67" s="7" t="str">
        <f aca="false">IF(validation!A66,IF(validation!N66,"OK","INVALID"),"")</f>
        <v/>
      </c>
      <c r="B67" s="8"/>
      <c r="C67" s="8"/>
      <c r="D67" s="9"/>
      <c r="E67" s="8"/>
      <c r="F67" s="9"/>
      <c r="G67" s="8"/>
      <c r="H67" s="8"/>
      <c r="I67" s="9"/>
      <c r="J67" s="12"/>
    </row>
    <row r="68" customFormat="false" ht="15" hidden="false" customHeight="false" outlineLevel="0" collapsed="false">
      <c r="A68" s="7" t="str">
        <f aca="false">IF(validation!A67,IF(validation!N67,"OK","INVALID"),"")</f>
        <v/>
      </c>
      <c r="B68" s="8"/>
      <c r="C68" s="8"/>
      <c r="D68" s="9"/>
      <c r="E68" s="8"/>
      <c r="F68" s="9"/>
      <c r="G68" s="8"/>
      <c r="H68" s="8"/>
      <c r="I68" s="9"/>
      <c r="J68" s="12"/>
    </row>
    <row r="69" customFormat="false" ht="15" hidden="false" customHeight="false" outlineLevel="0" collapsed="false">
      <c r="A69" s="7" t="str">
        <f aca="false">IF(validation!A68,IF(validation!N68,"OK","INVALID"),"")</f>
        <v/>
      </c>
      <c r="B69" s="8"/>
      <c r="C69" s="8"/>
      <c r="D69" s="9"/>
      <c r="E69" s="8"/>
      <c r="F69" s="9"/>
      <c r="G69" s="8"/>
      <c r="H69" s="8"/>
      <c r="I69" s="9"/>
      <c r="J69" s="12"/>
    </row>
    <row r="70" customFormat="false" ht="15" hidden="false" customHeight="false" outlineLevel="0" collapsed="false">
      <c r="A70" s="7" t="str">
        <f aca="false">IF(validation!A69,IF(validation!N69,"OK","INVALID"),"")</f>
        <v/>
      </c>
      <c r="B70" s="8"/>
      <c r="C70" s="8"/>
      <c r="D70" s="9"/>
      <c r="E70" s="8"/>
      <c r="F70" s="9"/>
      <c r="G70" s="8"/>
      <c r="H70" s="8"/>
      <c r="I70" s="9"/>
      <c r="J70" s="12"/>
    </row>
    <row r="71" customFormat="false" ht="15" hidden="false" customHeight="false" outlineLevel="0" collapsed="false">
      <c r="A71" s="7" t="str">
        <f aca="false">IF(validation!A70,IF(validation!N70,"OK","INVALID"),"")</f>
        <v/>
      </c>
      <c r="B71" s="8"/>
      <c r="C71" s="8"/>
      <c r="D71" s="9"/>
      <c r="E71" s="8"/>
      <c r="F71" s="9"/>
      <c r="G71" s="8"/>
      <c r="H71" s="8"/>
      <c r="I71" s="9"/>
      <c r="J71" s="12"/>
    </row>
    <row r="72" customFormat="false" ht="15" hidden="false" customHeight="false" outlineLevel="0" collapsed="false">
      <c r="A72" s="7" t="str">
        <f aca="false">IF(validation!A71,IF(validation!N71,"OK","INVALID"),"")</f>
        <v/>
      </c>
      <c r="B72" s="8"/>
      <c r="C72" s="8"/>
      <c r="D72" s="9"/>
      <c r="E72" s="8"/>
      <c r="F72" s="9"/>
      <c r="G72" s="8"/>
      <c r="H72" s="8"/>
      <c r="I72" s="9"/>
      <c r="J72" s="12"/>
    </row>
    <row r="73" customFormat="false" ht="15" hidden="false" customHeight="false" outlineLevel="0" collapsed="false">
      <c r="A73" s="7" t="str">
        <f aca="false">IF(validation!A72,IF(validation!N72,"OK","INVALID"),"")</f>
        <v/>
      </c>
      <c r="B73" s="8"/>
      <c r="C73" s="8"/>
      <c r="D73" s="9"/>
      <c r="E73" s="8"/>
      <c r="F73" s="9"/>
      <c r="G73" s="8"/>
      <c r="H73" s="8"/>
      <c r="I73" s="9"/>
      <c r="J73" s="12"/>
    </row>
    <row r="74" customFormat="false" ht="15" hidden="false" customHeight="false" outlineLevel="0" collapsed="false">
      <c r="A74" s="7" t="str">
        <f aca="false">IF(validation!A73,IF(validation!N73,"OK","INVALID"),"")</f>
        <v/>
      </c>
      <c r="B74" s="8"/>
      <c r="C74" s="8"/>
      <c r="D74" s="9"/>
      <c r="E74" s="8"/>
      <c r="F74" s="9"/>
      <c r="G74" s="8"/>
      <c r="H74" s="8"/>
      <c r="I74" s="9"/>
      <c r="J74" s="12"/>
    </row>
    <row r="75" customFormat="false" ht="15" hidden="false" customHeight="false" outlineLevel="0" collapsed="false">
      <c r="A75" s="7" t="str">
        <f aca="false">IF(validation!A74,IF(validation!N74,"OK","INVALID"),"")</f>
        <v/>
      </c>
      <c r="B75" s="8"/>
      <c r="C75" s="8"/>
      <c r="D75" s="9"/>
      <c r="E75" s="8"/>
      <c r="F75" s="9"/>
      <c r="G75" s="8"/>
      <c r="H75" s="8"/>
      <c r="I75" s="9"/>
      <c r="J75" s="12"/>
    </row>
    <row r="76" customFormat="false" ht="15" hidden="false" customHeight="false" outlineLevel="0" collapsed="false">
      <c r="A76" s="7" t="str">
        <f aca="false">IF(validation!A75,IF(validation!N75,"OK","INVALID"),"")</f>
        <v/>
      </c>
      <c r="B76" s="8"/>
      <c r="C76" s="8"/>
      <c r="D76" s="9"/>
      <c r="E76" s="8"/>
      <c r="F76" s="9"/>
      <c r="G76" s="8"/>
      <c r="H76" s="8"/>
      <c r="I76" s="9"/>
      <c r="J76" s="12"/>
    </row>
    <row r="77" customFormat="false" ht="15" hidden="false" customHeight="false" outlineLevel="0" collapsed="false">
      <c r="A77" s="7" t="str">
        <f aca="false">IF(validation!A76,IF(validation!N76,"OK","INVALID"),"")</f>
        <v/>
      </c>
      <c r="B77" s="8"/>
      <c r="C77" s="8"/>
      <c r="D77" s="9"/>
      <c r="E77" s="8"/>
      <c r="F77" s="9"/>
      <c r="G77" s="8"/>
      <c r="H77" s="8"/>
      <c r="I77" s="9"/>
      <c r="J77" s="12"/>
    </row>
    <row r="78" customFormat="false" ht="15" hidden="false" customHeight="false" outlineLevel="0" collapsed="false">
      <c r="A78" s="7" t="str">
        <f aca="false">IF(validation!A77,IF(validation!N77,"OK","INVALID"),"")</f>
        <v/>
      </c>
      <c r="B78" s="8"/>
      <c r="C78" s="8"/>
      <c r="D78" s="9"/>
      <c r="E78" s="8"/>
      <c r="F78" s="9"/>
      <c r="G78" s="8"/>
      <c r="H78" s="8"/>
      <c r="I78" s="9"/>
      <c r="J78" s="12"/>
    </row>
    <row r="79" customFormat="false" ht="15" hidden="false" customHeight="false" outlineLevel="0" collapsed="false">
      <c r="A79" s="7" t="str">
        <f aca="false">IF(validation!A78,IF(validation!N78,"OK","INVALID"),"")</f>
        <v/>
      </c>
      <c r="B79" s="8"/>
      <c r="C79" s="8"/>
      <c r="D79" s="9"/>
      <c r="E79" s="8"/>
      <c r="F79" s="9"/>
      <c r="G79" s="8"/>
      <c r="H79" s="8"/>
      <c r="I79" s="9"/>
      <c r="J79" s="12"/>
    </row>
    <row r="80" customFormat="false" ht="15" hidden="false" customHeight="false" outlineLevel="0" collapsed="false">
      <c r="A80" s="7" t="str">
        <f aca="false">IF(validation!A79,IF(validation!N79,"OK","INVALID"),"")</f>
        <v/>
      </c>
      <c r="B80" s="8"/>
      <c r="C80" s="8"/>
      <c r="D80" s="9"/>
      <c r="E80" s="8"/>
      <c r="F80" s="9"/>
      <c r="G80" s="8"/>
      <c r="H80" s="8"/>
      <c r="I80" s="9"/>
      <c r="J80" s="12"/>
    </row>
    <row r="81" customFormat="false" ht="15" hidden="false" customHeight="false" outlineLevel="0" collapsed="false">
      <c r="A81" s="7" t="str">
        <f aca="false">IF(validation!A80,IF(validation!N80,"OK","INVALID"),"")</f>
        <v/>
      </c>
      <c r="B81" s="8"/>
      <c r="C81" s="8"/>
      <c r="D81" s="9"/>
      <c r="E81" s="8"/>
      <c r="F81" s="9"/>
      <c r="G81" s="8"/>
      <c r="H81" s="8"/>
      <c r="I81" s="9"/>
      <c r="J81" s="12"/>
    </row>
    <row r="82" customFormat="false" ht="15" hidden="false" customHeight="false" outlineLevel="0" collapsed="false">
      <c r="A82" s="7" t="str">
        <f aca="false">IF(validation!A81,IF(validation!N81,"OK","INVALID"),"")</f>
        <v/>
      </c>
      <c r="B82" s="8"/>
      <c r="C82" s="8"/>
      <c r="D82" s="9"/>
      <c r="E82" s="8"/>
      <c r="F82" s="9"/>
      <c r="G82" s="8"/>
      <c r="H82" s="8"/>
      <c r="I82" s="9"/>
      <c r="J82" s="12"/>
    </row>
    <row r="83" customFormat="false" ht="15" hidden="false" customHeight="false" outlineLevel="0" collapsed="false">
      <c r="A83" s="7" t="str">
        <f aca="false">IF(validation!A82,IF(validation!N82,"OK","INVALID"),"")</f>
        <v/>
      </c>
      <c r="B83" s="8"/>
      <c r="C83" s="8"/>
      <c r="D83" s="9"/>
      <c r="E83" s="8"/>
      <c r="F83" s="9"/>
      <c r="G83" s="8"/>
      <c r="H83" s="8"/>
      <c r="I83" s="9"/>
      <c r="J83" s="12"/>
    </row>
    <row r="84" customFormat="false" ht="15" hidden="false" customHeight="false" outlineLevel="0" collapsed="false">
      <c r="A84" s="7" t="str">
        <f aca="false">IF(validation!A83,IF(validation!N83,"OK","INVALID"),"")</f>
        <v/>
      </c>
      <c r="B84" s="8"/>
      <c r="C84" s="8"/>
      <c r="D84" s="9"/>
      <c r="E84" s="8"/>
      <c r="F84" s="9"/>
      <c r="G84" s="8"/>
      <c r="H84" s="8"/>
      <c r="I84" s="9"/>
      <c r="J84" s="12"/>
    </row>
    <row r="85" customFormat="false" ht="15" hidden="false" customHeight="false" outlineLevel="0" collapsed="false">
      <c r="A85" s="7" t="str">
        <f aca="false">IF(validation!A84,IF(validation!N84,"OK","INVALID"),"")</f>
        <v/>
      </c>
      <c r="B85" s="8"/>
      <c r="C85" s="8"/>
      <c r="D85" s="9"/>
      <c r="E85" s="8"/>
      <c r="F85" s="9"/>
      <c r="G85" s="8"/>
      <c r="H85" s="8"/>
      <c r="I85" s="9"/>
      <c r="J85" s="12"/>
    </row>
    <row r="86" customFormat="false" ht="15" hidden="false" customHeight="false" outlineLevel="0" collapsed="false">
      <c r="A86" s="7" t="str">
        <f aca="false">IF(validation!A85,IF(validation!N85,"OK","INVALID"),"")</f>
        <v/>
      </c>
      <c r="B86" s="8"/>
      <c r="C86" s="8"/>
      <c r="D86" s="9"/>
      <c r="E86" s="8"/>
      <c r="F86" s="9"/>
      <c r="G86" s="8"/>
      <c r="H86" s="8"/>
      <c r="I86" s="9"/>
      <c r="J86" s="12"/>
    </row>
    <row r="87" customFormat="false" ht="15" hidden="false" customHeight="false" outlineLevel="0" collapsed="false">
      <c r="A87" s="7" t="str">
        <f aca="false">IF(validation!A86,IF(validation!N86,"OK","INVALID"),"")</f>
        <v/>
      </c>
      <c r="B87" s="8"/>
      <c r="C87" s="8"/>
      <c r="D87" s="9"/>
      <c r="E87" s="8"/>
      <c r="F87" s="9"/>
      <c r="G87" s="8"/>
      <c r="H87" s="8"/>
      <c r="I87" s="9"/>
      <c r="J87" s="12"/>
    </row>
    <row r="88" customFormat="false" ht="15" hidden="false" customHeight="false" outlineLevel="0" collapsed="false">
      <c r="A88" s="7" t="str">
        <f aca="false">IF(validation!A87,IF(validation!N87,"OK","INVALID"),"")</f>
        <v/>
      </c>
      <c r="B88" s="8"/>
      <c r="C88" s="8"/>
      <c r="D88" s="9"/>
      <c r="E88" s="8"/>
      <c r="F88" s="9"/>
      <c r="G88" s="8"/>
      <c r="H88" s="8"/>
      <c r="I88" s="9"/>
      <c r="J88" s="12"/>
    </row>
    <row r="89" customFormat="false" ht="15" hidden="false" customHeight="false" outlineLevel="0" collapsed="false">
      <c r="A89" s="7" t="str">
        <f aca="false">IF(validation!A88,IF(validation!N88,"OK","INVALID"),"")</f>
        <v/>
      </c>
      <c r="B89" s="8"/>
      <c r="C89" s="8"/>
      <c r="D89" s="9"/>
      <c r="E89" s="8"/>
      <c r="F89" s="9"/>
      <c r="G89" s="8"/>
      <c r="H89" s="8"/>
      <c r="I89" s="9"/>
      <c r="J89" s="12"/>
    </row>
    <row r="90" customFormat="false" ht="15" hidden="false" customHeight="false" outlineLevel="0" collapsed="false">
      <c r="A90" s="7" t="str">
        <f aca="false">IF(validation!A89,IF(validation!N89,"OK","INVALID"),"")</f>
        <v/>
      </c>
      <c r="B90" s="8"/>
      <c r="C90" s="8"/>
      <c r="D90" s="9"/>
      <c r="E90" s="8"/>
      <c r="F90" s="9"/>
      <c r="G90" s="8"/>
      <c r="H90" s="8"/>
      <c r="I90" s="9"/>
      <c r="J90" s="12"/>
    </row>
    <row r="91" customFormat="false" ht="15" hidden="false" customHeight="false" outlineLevel="0" collapsed="false">
      <c r="A91" s="7" t="str">
        <f aca="false">IF(validation!A90,IF(validation!N90,"OK","INVALID"),"")</f>
        <v/>
      </c>
      <c r="B91" s="8"/>
      <c r="C91" s="8"/>
      <c r="D91" s="9"/>
      <c r="E91" s="8"/>
      <c r="F91" s="9"/>
      <c r="G91" s="8"/>
      <c r="H91" s="8"/>
      <c r="I91" s="9"/>
      <c r="J91" s="12"/>
    </row>
    <row r="92" customFormat="false" ht="15" hidden="false" customHeight="false" outlineLevel="0" collapsed="false">
      <c r="A92" s="7" t="str">
        <f aca="false">IF(validation!A91,IF(validation!N91,"OK","INVALID"),"")</f>
        <v/>
      </c>
      <c r="B92" s="8"/>
      <c r="C92" s="8"/>
      <c r="D92" s="9"/>
      <c r="E92" s="8"/>
      <c r="F92" s="9"/>
      <c r="G92" s="8"/>
      <c r="H92" s="8"/>
      <c r="I92" s="9"/>
      <c r="J92" s="12"/>
    </row>
    <row r="93" customFormat="false" ht="15" hidden="false" customHeight="false" outlineLevel="0" collapsed="false">
      <c r="A93" s="7" t="str">
        <f aca="false">IF(validation!A92,IF(validation!N92,"OK","INVALID"),"")</f>
        <v/>
      </c>
      <c r="B93" s="8"/>
      <c r="C93" s="8"/>
      <c r="D93" s="9"/>
      <c r="E93" s="8"/>
      <c r="F93" s="9"/>
      <c r="G93" s="8"/>
      <c r="H93" s="8"/>
      <c r="I93" s="9"/>
      <c r="J93" s="12"/>
    </row>
    <row r="94" customFormat="false" ht="15" hidden="false" customHeight="false" outlineLevel="0" collapsed="false">
      <c r="A94" s="7" t="str">
        <f aca="false">IF(validation!A93,IF(validation!N93,"OK","INVALID"),"")</f>
        <v/>
      </c>
      <c r="B94" s="8"/>
      <c r="C94" s="8"/>
      <c r="D94" s="9"/>
      <c r="E94" s="8"/>
      <c r="F94" s="9"/>
      <c r="G94" s="8"/>
      <c r="H94" s="8"/>
      <c r="I94" s="9"/>
      <c r="J94" s="12"/>
    </row>
    <row r="95" customFormat="false" ht="15" hidden="false" customHeight="false" outlineLevel="0" collapsed="false">
      <c r="A95" s="7" t="str">
        <f aca="false">IF(validation!A94,IF(validation!N94,"OK","INVALID"),"")</f>
        <v/>
      </c>
      <c r="B95" s="8"/>
      <c r="C95" s="8"/>
      <c r="D95" s="9"/>
      <c r="E95" s="8"/>
      <c r="F95" s="9"/>
      <c r="G95" s="8"/>
      <c r="H95" s="8"/>
      <c r="I95" s="9"/>
      <c r="J95" s="12"/>
    </row>
    <row r="96" customFormat="false" ht="15" hidden="false" customHeight="false" outlineLevel="0" collapsed="false">
      <c r="A96" s="7" t="str">
        <f aca="false">IF(validation!A95,IF(validation!N95,"OK","INVALID"),"")</f>
        <v/>
      </c>
      <c r="B96" s="8"/>
      <c r="C96" s="8"/>
      <c r="D96" s="9"/>
      <c r="E96" s="8"/>
      <c r="F96" s="9"/>
      <c r="G96" s="8"/>
      <c r="H96" s="8"/>
      <c r="I96" s="9"/>
      <c r="J96" s="12"/>
    </row>
    <row r="97" customFormat="false" ht="15" hidden="false" customHeight="false" outlineLevel="0" collapsed="false">
      <c r="A97" s="7" t="str">
        <f aca="false">IF(validation!A96,IF(validation!N96,"OK","INVALID"),"")</f>
        <v/>
      </c>
      <c r="B97" s="8"/>
      <c r="C97" s="8"/>
      <c r="D97" s="9"/>
      <c r="E97" s="8"/>
      <c r="F97" s="9"/>
      <c r="G97" s="8"/>
      <c r="H97" s="8"/>
      <c r="I97" s="9"/>
      <c r="J97" s="12"/>
    </row>
    <row r="98" customFormat="false" ht="15" hidden="false" customHeight="false" outlineLevel="0" collapsed="false">
      <c r="A98" s="7" t="str">
        <f aca="false">IF(validation!A97,IF(validation!N97,"OK","INVALID"),"")</f>
        <v/>
      </c>
      <c r="B98" s="8"/>
      <c r="C98" s="8"/>
      <c r="D98" s="9"/>
      <c r="E98" s="8"/>
      <c r="F98" s="9"/>
      <c r="G98" s="8"/>
      <c r="H98" s="8"/>
      <c r="I98" s="9"/>
      <c r="J98" s="12"/>
    </row>
    <row r="99" customFormat="false" ht="15" hidden="false" customHeight="false" outlineLevel="0" collapsed="false">
      <c r="A99" s="7" t="str">
        <f aca="false">IF(validation!A98,IF(validation!N98,"OK","INVALID"),"")</f>
        <v/>
      </c>
      <c r="B99" s="8"/>
      <c r="C99" s="8"/>
      <c r="D99" s="9"/>
      <c r="E99" s="8"/>
      <c r="F99" s="9"/>
      <c r="G99" s="8"/>
      <c r="H99" s="8"/>
      <c r="I99" s="9"/>
      <c r="J99" s="12"/>
    </row>
    <row r="100" customFormat="false" ht="15" hidden="false" customHeight="false" outlineLevel="0" collapsed="false">
      <c r="A100" s="7" t="str">
        <f aca="false">IF(validation!A99,IF(validation!N99,"OK","INVALID"),"")</f>
        <v/>
      </c>
      <c r="B100" s="8"/>
      <c r="C100" s="8"/>
      <c r="D100" s="9"/>
      <c r="E100" s="8"/>
      <c r="F100" s="9"/>
      <c r="G100" s="8"/>
      <c r="H100" s="8"/>
      <c r="I100" s="9"/>
      <c r="J100" s="12"/>
    </row>
    <row r="101" customFormat="false" ht="15" hidden="false" customHeight="false" outlineLevel="0" collapsed="false">
      <c r="A101" s="7" t="str">
        <f aca="false">IF(validation!A100,IF(validation!N100,"OK","INVALID"),"")</f>
        <v/>
      </c>
      <c r="B101" s="8"/>
      <c r="C101" s="8"/>
      <c r="D101" s="9"/>
      <c r="E101" s="8"/>
      <c r="F101" s="9"/>
      <c r="G101" s="8"/>
      <c r="H101" s="8"/>
      <c r="I101" s="9"/>
      <c r="J101" s="12"/>
    </row>
    <row r="102" customFormat="false" ht="15" hidden="false" customHeight="false" outlineLevel="0" collapsed="false">
      <c r="A102" s="7" t="str">
        <f aca="false">IF(validation!A101,IF(validation!N101,"OK","INVALID"),"")</f>
        <v/>
      </c>
      <c r="B102" s="8"/>
      <c r="C102" s="8"/>
      <c r="D102" s="9"/>
      <c r="E102" s="8"/>
      <c r="F102" s="9"/>
      <c r="G102" s="8"/>
      <c r="H102" s="8"/>
      <c r="I102" s="9"/>
      <c r="J102" s="12"/>
    </row>
    <row r="103" customFormat="false" ht="15" hidden="false" customHeight="false" outlineLevel="0" collapsed="false">
      <c r="A103" s="7" t="str">
        <f aca="false">IF(validation!A102,IF(validation!N102,"OK","INVALID"),"")</f>
        <v/>
      </c>
      <c r="B103" s="8"/>
      <c r="C103" s="8"/>
      <c r="D103" s="9"/>
      <c r="E103" s="8"/>
      <c r="F103" s="9"/>
      <c r="G103" s="8"/>
      <c r="H103" s="8"/>
      <c r="I103" s="9"/>
      <c r="J103" s="12"/>
    </row>
    <row r="104" customFormat="false" ht="15" hidden="false" customHeight="false" outlineLevel="0" collapsed="false">
      <c r="A104" s="7" t="str">
        <f aca="false">IF(validation!A103,IF(validation!N103,"OK","INVALID"),"")</f>
        <v/>
      </c>
      <c r="B104" s="8"/>
      <c r="C104" s="8"/>
      <c r="D104" s="9"/>
      <c r="E104" s="8"/>
      <c r="F104" s="9"/>
      <c r="G104" s="8"/>
      <c r="H104" s="8"/>
      <c r="I104" s="9"/>
      <c r="J104" s="12"/>
    </row>
    <row r="105" customFormat="false" ht="15" hidden="false" customHeight="false" outlineLevel="0" collapsed="false">
      <c r="A105" s="7" t="str">
        <f aca="false">IF(validation!A104,IF(validation!N104,"OK","INVALID"),"")</f>
        <v/>
      </c>
      <c r="B105" s="8"/>
      <c r="C105" s="8"/>
      <c r="D105" s="9"/>
      <c r="E105" s="8"/>
      <c r="F105" s="9"/>
      <c r="G105" s="8"/>
      <c r="H105" s="8"/>
      <c r="I105" s="9"/>
      <c r="J105" s="12"/>
    </row>
    <row r="106" customFormat="false" ht="15" hidden="false" customHeight="false" outlineLevel="0" collapsed="false">
      <c r="A106" s="7" t="str">
        <f aca="false">IF(validation!A105,IF(validation!N105,"OK","INVALID"),"")</f>
        <v/>
      </c>
      <c r="B106" s="8"/>
      <c r="C106" s="8"/>
      <c r="D106" s="9"/>
      <c r="E106" s="8"/>
      <c r="F106" s="9"/>
      <c r="G106" s="8"/>
      <c r="H106" s="8"/>
      <c r="I106" s="9"/>
      <c r="J106" s="12"/>
    </row>
    <row r="107" customFormat="false" ht="15" hidden="false" customHeight="false" outlineLevel="0" collapsed="false">
      <c r="A107" s="7" t="str">
        <f aca="false">IF(validation!A106,IF(validation!N106,"OK","INVALID"),"")</f>
        <v/>
      </c>
      <c r="B107" s="8"/>
      <c r="C107" s="8"/>
      <c r="D107" s="9"/>
      <c r="E107" s="8"/>
      <c r="F107" s="9"/>
      <c r="G107" s="8"/>
      <c r="H107" s="8"/>
      <c r="I107" s="9"/>
      <c r="J107" s="12"/>
    </row>
    <row r="108" customFormat="false" ht="15" hidden="false" customHeight="false" outlineLevel="0" collapsed="false">
      <c r="A108" s="7" t="str">
        <f aca="false">IF(validation!A107,IF(validation!N107,"OK","INVALID"),"")</f>
        <v/>
      </c>
      <c r="B108" s="8"/>
      <c r="C108" s="8"/>
      <c r="D108" s="9"/>
      <c r="E108" s="8"/>
      <c r="F108" s="9"/>
      <c r="G108" s="8"/>
      <c r="H108" s="8"/>
      <c r="I108" s="9"/>
      <c r="J108" s="12"/>
    </row>
    <row r="109" customFormat="false" ht="15" hidden="false" customHeight="false" outlineLevel="0" collapsed="false">
      <c r="A109" s="7" t="str">
        <f aca="false">IF(validation!A108,IF(validation!N108,"OK","INVALID"),"")</f>
        <v/>
      </c>
      <c r="B109" s="8"/>
      <c r="C109" s="8"/>
      <c r="D109" s="9"/>
      <c r="E109" s="8"/>
      <c r="F109" s="9"/>
      <c r="G109" s="8"/>
      <c r="H109" s="8"/>
      <c r="I109" s="9"/>
      <c r="J109" s="12"/>
    </row>
    <row r="110" customFormat="false" ht="15" hidden="false" customHeight="false" outlineLevel="0" collapsed="false">
      <c r="A110" s="7" t="str">
        <f aca="false">IF(validation!A109,IF(validation!N109,"OK","INVALID"),"")</f>
        <v/>
      </c>
      <c r="B110" s="8"/>
      <c r="C110" s="8"/>
      <c r="D110" s="9"/>
      <c r="E110" s="8"/>
      <c r="F110" s="9"/>
      <c r="G110" s="8"/>
      <c r="H110" s="8"/>
      <c r="I110" s="9"/>
      <c r="J110" s="12"/>
    </row>
    <row r="111" customFormat="false" ht="15" hidden="false" customHeight="false" outlineLevel="0" collapsed="false">
      <c r="A111" s="7" t="str">
        <f aca="false">IF(validation!A110,IF(validation!N110,"OK","INVALID"),"")</f>
        <v/>
      </c>
      <c r="B111" s="8"/>
      <c r="C111" s="8"/>
      <c r="D111" s="9"/>
      <c r="E111" s="8"/>
      <c r="F111" s="9"/>
      <c r="G111" s="8"/>
      <c r="H111" s="8"/>
      <c r="I111" s="9"/>
      <c r="J111" s="12"/>
    </row>
    <row r="112" customFormat="false" ht="15" hidden="false" customHeight="false" outlineLevel="0" collapsed="false">
      <c r="A112" s="7" t="str">
        <f aca="false">IF(validation!A111,IF(validation!N111,"OK","INVALID"),"")</f>
        <v/>
      </c>
      <c r="B112" s="8"/>
      <c r="C112" s="8"/>
      <c r="D112" s="9"/>
      <c r="E112" s="8"/>
      <c r="F112" s="9"/>
      <c r="G112" s="8"/>
      <c r="H112" s="8"/>
      <c r="I112" s="9"/>
      <c r="J112" s="12"/>
    </row>
    <row r="113" customFormat="false" ht="15" hidden="false" customHeight="false" outlineLevel="0" collapsed="false">
      <c r="A113" s="7" t="str">
        <f aca="false">IF(validation!A112,IF(validation!N112,"OK","INVALID"),"")</f>
        <v/>
      </c>
      <c r="B113" s="8"/>
      <c r="C113" s="8"/>
      <c r="D113" s="9"/>
      <c r="E113" s="8"/>
      <c r="F113" s="9"/>
      <c r="G113" s="8"/>
      <c r="H113" s="8"/>
      <c r="I113" s="9"/>
      <c r="J113" s="12"/>
    </row>
    <row r="114" customFormat="false" ht="15" hidden="false" customHeight="false" outlineLevel="0" collapsed="false">
      <c r="A114" s="7" t="str">
        <f aca="false">IF(validation!A113,IF(validation!N113,"OK","INVALID"),"")</f>
        <v/>
      </c>
      <c r="B114" s="8"/>
      <c r="C114" s="8"/>
      <c r="D114" s="9"/>
      <c r="E114" s="8"/>
      <c r="F114" s="9"/>
      <c r="G114" s="8"/>
      <c r="H114" s="8"/>
      <c r="I114" s="9"/>
      <c r="J114" s="12"/>
    </row>
    <row r="115" customFormat="false" ht="15" hidden="false" customHeight="false" outlineLevel="0" collapsed="false">
      <c r="A115" s="7" t="str">
        <f aca="false">IF(validation!A114,IF(validation!N114,"OK","INVALID"),"")</f>
        <v/>
      </c>
      <c r="B115" s="8"/>
      <c r="C115" s="8"/>
      <c r="D115" s="9"/>
      <c r="E115" s="8"/>
      <c r="F115" s="9"/>
      <c r="G115" s="8"/>
      <c r="H115" s="8"/>
      <c r="I115" s="9"/>
      <c r="J115" s="12"/>
    </row>
    <row r="116" customFormat="false" ht="15" hidden="false" customHeight="false" outlineLevel="0" collapsed="false">
      <c r="A116" s="7" t="str">
        <f aca="false">IF(validation!A115,IF(validation!N115,"OK","INVALID"),"")</f>
        <v/>
      </c>
      <c r="B116" s="8"/>
      <c r="C116" s="8"/>
      <c r="D116" s="9"/>
      <c r="E116" s="8"/>
      <c r="F116" s="9"/>
      <c r="G116" s="8"/>
      <c r="H116" s="8"/>
      <c r="I116" s="9"/>
      <c r="J116" s="12"/>
    </row>
    <row r="117" customFormat="false" ht="15" hidden="false" customHeight="false" outlineLevel="0" collapsed="false">
      <c r="A117" s="7" t="str">
        <f aca="false">IF(validation!A116,IF(validation!N116,"OK","INVALID"),"")</f>
        <v/>
      </c>
      <c r="B117" s="8"/>
      <c r="C117" s="8"/>
      <c r="D117" s="9"/>
      <c r="E117" s="8"/>
      <c r="F117" s="9"/>
      <c r="G117" s="8"/>
      <c r="H117" s="8"/>
      <c r="I117" s="9"/>
      <c r="J117" s="12"/>
    </row>
    <row r="118" customFormat="false" ht="15" hidden="false" customHeight="false" outlineLevel="0" collapsed="false">
      <c r="A118" s="7" t="str">
        <f aca="false">IF(validation!A117,IF(validation!N117,"OK","INVALID"),"")</f>
        <v/>
      </c>
      <c r="B118" s="8"/>
      <c r="C118" s="8"/>
      <c r="D118" s="9"/>
      <c r="E118" s="8"/>
      <c r="F118" s="9"/>
      <c r="G118" s="8"/>
      <c r="H118" s="8"/>
      <c r="I118" s="9"/>
      <c r="J118" s="12"/>
    </row>
    <row r="119" customFormat="false" ht="15" hidden="false" customHeight="false" outlineLevel="0" collapsed="false">
      <c r="A119" s="7" t="str">
        <f aca="false">IF(validation!A118,IF(validation!N118,"OK","INVALID"),"")</f>
        <v/>
      </c>
      <c r="B119" s="8"/>
      <c r="C119" s="8"/>
      <c r="D119" s="9"/>
      <c r="E119" s="8"/>
      <c r="F119" s="9"/>
      <c r="G119" s="8"/>
      <c r="H119" s="8"/>
      <c r="I119" s="9"/>
      <c r="J119" s="12"/>
    </row>
    <row r="120" customFormat="false" ht="15" hidden="false" customHeight="false" outlineLevel="0" collapsed="false">
      <c r="A120" s="7" t="str">
        <f aca="false">IF(validation!A119,IF(validation!N119,"OK","INVALID"),"")</f>
        <v/>
      </c>
      <c r="B120" s="8"/>
      <c r="C120" s="8"/>
      <c r="D120" s="9"/>
      <c r="E120" s="8"/>
      <c r="F120" s="9"/>
      <c r="G120" s="8"/>
      <c r="H120" s="8"/>
      <c r="I120" s="9"/>
      <c r="J120" s="12"/>
    </row>
    <row r="121" customFormat="false" ht="15" hidden="false" customHeight="false" outlineLevel="0" collapsed="false">
      <c r="A121" s="7" t="str">
        <f aca="false">IF(validation!A120,IF(validation!N120,"OK","INVALID"),"")</f>
        <v/>
      </c>
      <c r="B121" s="8"/>
      <c r="C121" s="8"/>
      <c r="D121" s="9"/>
      <c r="E121" s="8"/>
      <c r="F121" s="9"/>
      <c r="G121" s="8"/>
      <c r="H121" s="8"/>
      <c r="I121" s="9"/>
      <c r="J121" s="12"/>
    </row>
    <row r="122" customFormat="false" ht="15" hidden="false" customHeight="false" outlineLevel="0" collapsed="false">
      <c r="A122" s="7" t="str">
        <f aca="false">IF(validation!A121,IF(validation!N121,"OK","INVALID"),"")</f>
        <v/>
      </c>
      <c r="B122" s="8"/>
      <c r="C122" s="8"/>
      <c r="D122" s="9"/>
      <c r="E122" s="8"/>
      <c r="F122" s="9"/>
      <c r="G122" s="8"/>
      <c r="H122" s="8"/>
      <c r="I122" s="9"/>
      <c r="J122" s="12"/>
    </row>
    <row r="123" customFormat="false" ht="15" hidden="false" customHeight="false" outlineLevel="0" collapsed="false">
      <c r="A123" s="7" t="str">
        <f aca="false">IF(validation!A122,IF(validation!N122,"OK","INVALID"),"")</f>
        <v/>
      </c>
      <c r="B123" s="8"/>
      <c r="C123" s="8"/>
      <c r="D123" s="9"/>
      <c r="E123" s="8"/>
      <c r="F123" s="9"/>
      <c r="G123" s="8"/>
      <c r="H123" s="8"/>
      <c r="I123" s="9"/>
      <c r="J123" s="12"/>
    </row>
    <row r="124" customFormat="false" ht="15" hidden="false" customHeight="false" outlineLevel="0" collapsed="false">
      <c r="A124" s="7" t="str">
        <f aca="false">IF(validation!A123,IF(validation!N123,"OK","INVALID"),"")</f>
        <v/>
      </c>
      <c r="B124" s="8"/>
      <c r="C124" s="8"/>
      <c r="D124" s="9"/>
      <c r="E124" s="8"/>
      <c r="F124" s="9"/>
      <c r="G124" s="8"/>
      <c r="H124" s="8"/>
      <c r="I124" s="9"/>
      <c r="J124" s="12"/>
    </row>
    <row r="125" customFormat="false" ht="15" hidden="false" customHeight="false" outlineLevel="0" collapsed="false">
      <c r="A125" s="7" t="str">
        <f aca="false">IF(validation!A124,IF(validation!N124,"OK","INVALID"),"")</f>
        <v/>
      </c>
      <c r="B125" s="8"/>
      <c r="C125" s="8"/>
      <c r="D125" s="9"/>
      <c r="E125" s="8"/>
      <c r="F125" s="9"/>
      <c r="G125" s="8"/>
      <c r="H125" s="8"/>
      <c r="I125" s="9"/>
      <c r="J125" s="12"/>
    </row>
    <row r="126" customFormat="false" ht="15" hidden="false" customHeight="false" outlineLevel="0" collapsed="false">
      <c r="A126" s="7" t="str">
        <f aca="false">IF(validation!A125,IF(validation!N125,"OK","INVALID"),"")</f>
        <v/>
      </c>
      <c r="B126" s="8"/>
      <c r="C126" s="8"/>
      <c r="D126" s="9"/>
      <c r="E126" s="8"/>
      <c r="F126" s="9"/>
      <c r="G126" s="8"/>
      <c r="H126" s="8"/>
      <c r="I126" s="9"/>
      <c r="J126" s="12"/>
    </row>
    <row r="127" customFormat="false" ht="15" hidden="false" customHeight="false" outlineLevel="0" collapsed="false">
      <c r="A127" s="7" t="str">
        <f aca="false">IF(validation!A126,IF(validation!N126,"OK","INVALID"),"")</f>
        <v/>
      </c>
      <c r="B127" s="8"/>
      <c r="C127" s="8"/>
      <c r="D127" s="9"/>
      <c r="E127" s="8"/>
      <c r="F127" s="9"/>
      <c r="G127" s="8"/>
      <c r="H127" s="8"/>
      <c r="I127" s="9"/>
      <c r="J127" s="12"/>
    </row>
    <row r="128" customFormat="false" ht="15" hidden="false" customHeight="false" outlineLevel="0" collapsed="false">
      <c r="A128" s="7" t="str">
        <f aca="false">IF(validation!A127,IF(validation!N127,"OK","INVALID"),"")</f>
        <v/>
      </c>
      <c r="B128" s="8"/>
      <c r="C128" s="8"/>
      <c r="D128" s="9"/>
      <c r="E128" s="8"/>
      <c r="F128" s="9"/>
      <c r="G128" s="8"/>
      <c r="H128" s="8"/>
      <c r="I128" s="9"/>
      <c r="J128" s="12"/>
    </row>
    <row r="129" customFormat="false" ht="15" hidden="false" customHeight="false" outlineLevel="0" collapsed="false">
      <c r="A129" s="7" t="str">
        <f aca="false">IF(validation!A128,IF(validation!N128,"OK","INVALID"),"")</f>
        <v/>
      </c>
      <c r="B129" s="8"/>
      <c r="C129" s="8"/>
      <c r="D129" s="9"/>
      <c r="E129" s="8"/>
      <c r="F129" s="9"/>
      <c r="G129" s="8"/>
      <c r="H129" s="8"/>
      <c r="I129" s="9"/>
      <c r="J129" s="12"/>
    </row>
    <row r="130" customFormat="false" ht="15" hidden="false" customHeight="false" outlineLevel="0" collapsed="false">
      <c r="A130" s="7" t="str">
        <f aca="false">IF(validation!A129,IF(validation!N129,"OK","INVALID"),"")</f>
        <v/>
      </c>
      <c r="B130" s="8"/>
      <c r="C130" s="8"/>
      <c r="D130" s="9"/>
      <c r="E130" s="8"/>
      <c r="F130" s="9"/>
      <c r="G130" s="8"/>
      <c r="H130" s="8"/>
      <c r="I130" s="9"/>
      <c r="J130" s="12"/>
    </row>
    <row r="131" customFormat="false" ht="15" hidden="false" customHeight="false" outlineLevel="0" collapsed="false">
      <c r="A131" s="7" t="str">
        <f aca="false">IF(validation!A130,IF(validation!N130,"OK","INVALID"),"")</f>
        <v/>
      </c>
      <c r="B131" s="8"/>
      <c r="C131" s="8"/>
      <c r="D131" s="9"/>
      <c r="E131" s="8"/>
      <c r="F131" s="9"/>
      <c r="G131" s="8"/>
      <c r="H131" s="8"/>
      <c r="I131" s="9"/>
      <c r="J131" s="12"/>
    </row>
    <row r="132" customFormat="false" ht="15" hidden="false" customHeight="false" outlineLevel="0" collapsed="false">
      <c r="A132" s="7" t="str">
        <f aca="false">IF(validation!A131,IF(validation!N131,"OK","INVALID"),"")</f>
        <v/>
      </c>
      <c r="B132" s="8"/>
      <c r="C132" s="8"/>
      <c r="D132" s="9"/>
      <c r="E132" s="8"/>
      <c r="F132" s="9"/>
      <c r="G132" s="8"/>
      <c r="H132" s="8"/>
      <c r="I132" s="9"/>
      <c r="J132" s="12"/>
    </row>
    <row r="133" customFormat="false" ht="15" hidden="false" customHeight="false" outlineLevel="0" collapsed="false">
      <c r="A133" s="7" t="str">
        <f aca="false">IF(validation!A132,IF(validation!N132,"OK","INVALID"),"")</f>
        <v/>
      </c>
      <c r="B133" s="8"/>
      <c r="C133" s="8"/>
      <c r="D133" s="9"/>
      <c r="E133" s="8"/>
      <c r="F133" s="9"/>
      <c r="G133" s="8"/>
      <c r="H133" s="8"/>
      <c r="I133" s="9"/>
      <c r="J133" s="12"/>
    </row>
    <row r="134" customFormat="false" ht="15" hidden="false" customHeight="false" outlineLevel="0" collapsed="false">
      <c r="A134" s="7" t="str">
        <f aca="false">IF(validation!A133,IF(validation!N133,"OK","INVALID"),"")</f>
        <v/>
      </c>
      <c r="B134" s="8"/>
      <c r="C134" s="8"/>
      <c r="D134" s="9"/>
      <c r="E134" s="8"/>
      <c r="F134" s="9"/>
      <c r="G134" s="8"/>
      <c r="H134" s="8"/>
      <c r="I134" s="9"/>
      <c r="J134" s="12"/>
    </row>
    <row r="135" customFormat="false" ht="15" hidden="false" customHeight="false" outlineLevel="0" collapsed="false">
      <c r="A135" s="7" t="str">
        <f aca="false">IF(validation!A134,IF(validation!N134,"OK","INVALID"),"")</f>
        <v/>
      </c>
      <c r="B135" s="8"/>
      <c r="C135" s="8"/>
      <c r="D135" s="9"/>
      <c r="E135" s="8"/>
      <c r="F135" s="9"/>
      <c r="G135" s="8"/>
      <c r="H135" s="8"/>
      <c r="I135" s="9"/>
      <c r="J135" s="12"/>
    </row>
    <row r="136" customFormat="false" ht="15" hidden="false" customHeight="false" outlineLevel="0" collapsed="false">
      <c r="A136" s="7" t="str">
        <f aca="false">IF(validation!A135,IF(validation!N135,"OK","INVALID"),"")</f>
        <v/>
      </c>
      <c r="B136" s="8"/>
      <c r="C136" s="8"/>
      <c r="D136" s="9"/>
      <c r="E136" s="8"/>
      <c r="F136" s="9"/>
      <c r="G136" s="8"/>
      <c r="H136" s="8"/>
      <c r="I136" s="9"/>
      <c r="J136" s="12"/>
    </row>
    <row r="137" customFormat="false" ht="15" hidden="false" customHeight="false" outlineLevel="0" collapsed="false">
      <c r="A137" s="7" t="str">
        <f aca="false">IF(validation!A136,IF(validation!N136,"OK","INVALID"),"")</f>
        <v/>
      </c>
      <c r="B137" s="8"/>
      <c r="C137" s="8"/>
      <c r="D137" s="9"/>
      <c r="E137" s="8"/>
      <c r="F137" s="9"/>
      <c r="G137" s="8"/>
      <c r="H137" s="8"/>
      <c r="I137" s="9"/>
      <c r="J137" s="12"/>
    </row>
    <row r="138" customFormat="false" ht="15" hidden="false" customHeight="false" outlineLevel="0" collapsed="false">
      <c r="A138" s="7" t="str">
        <f aca="false">IF(validation!A137,IF(validation!N137,"OK","INVALID"),"")</f>
        <v/>
      </c>
      <c r="B138" s="8"/>
      <c r="C138" s="8"/>
      <c r="D138" s="9"/>
      <c r="E138" s="8"/>
      <c r="F138" s="9"/>
      <c r="G138" s="8"/>
      <c r="H138" s="8"/>
      <c r="I138" s="9"/>
      <c r="J138" s="12"/>
    </row>
    <row r="139" customFormat="false" ht="15" hidden="false" customHeight="false" outlineLevel="0" collapsed="false">
      <c r="A139" s="7" t="str">
        <f aca="false">IF(validation!A138,IF(validation!N138,"OK","INVALID"),"")</f>
        <v/>
      </c>
      <c r="B139" s="8"/>
      <c r="C139" s="8"/>
      <c r="D139" s="9"/>
      <c r="E139" s="8"/>
      <c r="F139" s="9"/>
      <c r="G139" s="8"/>
      <c r="H139" s="8"/>
      <c r="I139" s="9"/>
      <c r="J139" s="12"/>
    </row>
    <row r="140" customFormat="false" ht="15" hidden="false" customHeight="false" outlineLevel="0" collapsed="false">
      <c r="A140" s="7" t="str">
        <f aca="false">IF(validation!A139,IF(validation!N139,"OK","INVALID"),"")</f>
        <v/>
      </c>
      <c r="B140" s="8"/>
      <c r="C140" s="8"/>
      <c r="D140" s="9"/>
      <c r="E140" s="8"/>
      <c r="F140" s="9"/>
      <c r="G140" s="8"/>
      <c r="H140" s="8"/>
      <c r="I140" s="9"/>
      <c r="J140" s="12"/>
    </row>
    <row r="141" customFormat="false" ht="15" hidden="false" customHeight="false" outlineLevel="0" collapsed="false">
      <c r="A141" s="7" t="str">
        <f aca="false">IF(validation!A140,IF(validation!N140,"OK","INVALID"),"")</f>
        <v/>
      </c>
      <c r="B141" s="8"/>
      <c r="C141" s="8"/>
      <c r="D141" s="9"/>
      <c r="E141" s="8"/>
      <c r="F141" s="9"/>
      <c r="G141" s="8"/>
      <c r="H141" s="8"/>
      <c r="I141" s="9"/>
      <c r="J141" s="12"/>
    </row>
    <row r="142" customFormat="false" ht="15" hidden="false" customHeight="false" outlineLevel="0" collapsed="false">
      <c r="A142" s="7" t="str">
        <f aca="false">IF(validation!A141,IF(validation!N141,"OK","INVALID"),"")</f>
        <v/>
      </c>
      <c r="B142" s="8"/>
      <c r="C142" s="8"/>
      <c r="D142" s="9"/>
      <c r="E142" s="8"/>
      <c r="F142" s="9"/>
      <c r="G142" s="8"/>
      <c r="H142" s="8"/>
      <c r="I142" s="9"/>
      <c r="J142" s="12"/>
    </row>
    <row r="143" customFormat="false" ht="15" hidden="false" customHeight="false" outlineLevel="0" collapsed="false">
      <c r="A143" s="7" t="str">
        <f aca="false">IF(validation!A142,IF(validation!N142,"OK","INVALID"),"")</f>
        <v/>
      </c>
      <c r="B143" s="8"/>
      <c r="C143" s="8"/>
      <c r="D143" s="9"/>
      <c r="E143" s="8"/>
      <c r="F143" s="9"/>
      <c r="G143" s="8"/>
      <c r="H143" s="8"/>
      <c r="I143" s="9"/>
      <c r="J143" s="12"/>
    </row>
    <row r="144" customFormat="false" ht="15" hidden="false" customHeight="false" outlineLevel="0" collapsed="false">
      <c r="A144" s="7" t="str">
        <f aca="false">IF(validation!A143,IF(validation!N143,"OK","INVALID"),"")</f>
        <v/>
      </c>
      <c r="B144" s="8"/>
      <c r="C144" s="8"/>
      <c r="D144" s="9"/>
      <c r="E144" s="8"/>
      <c r="F144" s="9"/>
      <c r="G144" s="8"/>
      <c r="H144" s="8"/>
      <c r="I144" s="9"/>
      <c r="J144" s="12"/>
    </row>
    <row r="145" customFormat="false" ht="15" hidden="false" customHeight="false" outlineLevel="0" collapsed="false">
      <c r="A145" s="7" t="str">
        <f aca="false">IF(validation!A144,IF(validation!N144,"OK","INVALID"),"")</f>
        <v/>
      </c>
      <c r="B145" s="8"/>
      <c r="C145" s="8"/>
      <c r="D145" s="9"/>
      <c r="E145" s="8"/>
      <c r="F145" s="9"/>
      <c r="G145" s="8"/>
      <c r="H145" s="8"/>
      <c r="I145" s="9"/>
      <c r="J145" s="12"/>
    </row>
    <row r="146" customFormat="false" ht="15" hidden="false" customHeight="false" outlineLevel="0" collapsed="false">
      <c r="A146" s="7" t="str">
        <f aca="false">IF(validation!A145,IF(validation!N145,"OK","INVALID"),"")</f>
        <v/>
      </c>
      <c r="B146" s="8"/>
      <c r="C146" s="8"/>
      <c r="D146" s="9"/>
      <c r="E146" s="8"/>
      <c r="F146" s="9"/>
      <c r="G146" s="8"/>
      <c r="H146" s="8"/>
      <c r="I146" s="9"/>
      <c r="J146" s="12"/>
    </row>
    <row r="147" customFormat="false" ht="15" hidden="false" customHeight="false" outlineLevel="0" collapsed="false">
      <c r="A147" s="7" t="str">
        <f aca="false">IF(validation!A146,IF(validation!N146,"OK","INVALID"),"")</f>
        <v/>
      </c>
      <c r="B147" s="8"/>
      <c r="C147" s="8"/>
      <c r="D147" s="9"/>
      <c r="E147" s="8"/>
      <c r="F147" s="9"/>
      <c r="G147" s="8"/>
      <c r="H147" s="8"/>
      <c r="I147" s="9"/>
      <c r="J147" s="12"/>
    </row>
    <row r="148" customFormat="false" ht="15" hidden="false" customHeight="false" outlineLevel="0" collapsed="false">
      <c r="A148" s="7" t="str">
        <f aca="false">IF(validation!A147,IF(validation!N147,"OK","INVALID"),"")</f>
        <v/>
      </c>
      <c r="B148" s="8"/>
      <c r="C148" s="8"/>
      <c r="D148" s="9"/>
      <c r="E148" s="8"/>
      <c r="F148" s="9"/>
      <c r="G148" s="8"/>
      <c r="H148" s="8"/>
      <c r="I148" s="9"/>
      <c r="J148" s="12"/>
    </row>
    <row r="149" customFormat="false" ht="15" hidden="false" customHeight="false" outlineLevel="0" collapsed="false">
      <c r="A149" s="7" t="str">
        <f aca="false">IF(validation!A148,IF(validation!N148,"OK","INVALID"),"")</f>
        <v/>
      </c>
      <c r="B149" s="8"/>
      <c r="C149" s="8"/>
      <c r="D149" s="9"/>
      <c r="E149" s="8"/>
      <c r="F149" s="9"/>
      <c r="G149" s="8"/>
      <c r="H149" s="8"/>
      <c r="I149" s="9"/>
      <c r="J149" s="12"/>
    </row>
    <row r="150" customFormat="false" ht="15" hidden="false" customHeight="false" outlineLevel="0" collapsed="false">
      <c r="A150" s="7" t="str">
        <f aca="false">IF(validation!A149,IF(validation!N149,"OK","INVALID"),"")</f>
        <v/>
      </c>
      <c r="B150" s="8"/>
      <c r="C150" s="8"/>
      <c r="D150" s="9"/>
      <c r="E150" s="8"/>
      <c r="F150" s="9"/>
      <c r="G150" s="8"/>
      <c r="H150" s="8"/>
      <c r="I150" s="9"/>
      <c r="J150" s="12"/>
    </row>
    <row r="151" customFormat="false" ht="15" hidden="false" customHeight="false" outlineLevel="0" collapsed="false">
      <c r="A151" s="7" t="str">
        <f aca="false">IF(validation!A150,IF(validation!N150,"OK","INVALID"),"")</f>
        <v/>
      </c>
      <c r="B151" s="8"/>
      <c r="C151" s="8"/>
      <c r="D151" s="9"/>
      <c r="E151" s="8"/>
      <c r="F151" s="9"/>
      <c r="G151" s="8"/>
      <c r="H151" s="8"/>
      <c r="I151" s="9"/>
      <c r="J151" s="12"/>
    </row>
    <row r="152" customFormat="false" ht="15" hidden="false" customHeight="false" outlineLevel="0" collapsed="false">
      <c r="A152" s="7" t="str">
        <f aca="false">IF(validation!A151,IF(validation!N151,"OK","INVALID"),"")</f>
        <v/>
      </c>
      <c r="B152" s="8"/>
      <c r="C152" s="8"/>
      <c r="D152" s="9"/>
      <c r="E152" s="8"/>
      <c r="F152" s="9"/>
      <c r="G152" s="8"/>
      <c r="H152" s="8"/>
      <c r="I152" s="9"/>
      <c r="J152" s="12"/>
    </row>
    <row r="153" customFormat="false" ht="15" hidden="false" customHeight="false" outlineLevel="0" collapsed="false">
      <c r="A153" s="7" t="str">
        <f aca="false">IF(validation!A152,IF(validation!N152,"OK","INVALID"),"")</f>
        <v/>
      </c>
      <c r="B153" s="8"/>
      <c r="C153" s="8"/>
      <c r="D153" s="9"/>
      <c r="E153" s="8"/>
      <c r="F153" s="9"/>
      <c r="G153" s="8"/>
      <c r="H153" s="8"/>
      <c r="I153" s="9"/>
      <c r="J153" s="12"/>
    </row>
    <row r="154" customFormat="false" ht="15" hidden="false" customHeight="false" outlineLevel="0" collapsed="false">
      <c r="A154" s="7" t="str">
        <f aca="false">IF(validation!A153,IF(validation!N153,"OK","INVALID"),"")</f>
        <v/>
      </c>
      <c r="B154" s="8"/>
      <c r="C154" s="8"/>
      <c r="D154" s="9"/>
      <c r="E154" s="8"/>
      <c r="F154" s="9"/>
      <c r="G154" s="8"/>
      <c r="H154" s="8"/>
      <c r="I154" s="9"/>
      <c r="J154" s="12"/>
    </row>
    <row r="155" customFormat="false" ht="15" hidden="false" customHeight="false" outlineLevel="0" collapsed="false">
      <c r="A155" s="7" t="str">
        <f aca="false">IF(validation!A154,IF(validation!N154,"OK","INVALID"),"")</f>
        <v/>
      </c>
      <c r="B155" s="8"/>
      <c r="C155" s="8"/>
      <c r="D155" s="9"/>
      <c r="E155" s="8"/>
      <c r="F155" s="9"/>
      <c r="G155" s="8"/>
      <c r="H155" s="8"/>
      <c r="I155" s="9"/>
      <c r="J155" s="12"/>
    </row>
    <row r="156" customFormat="false" ht="15" hidden="false" customHeight="false" outlineLevel="0" collapsed="false">
      <c r="A156" s="7" t="str">
        <f aca="false">IF(validation!A155,IF(validation!N155,"OK","INVALID"),"")</f>
        <v/>
      </c>
      <c r="B156" s="8"/>
      <c r="C156" s="8"/>
      <c r="D156" s="9"/>
      <c r="E156" s="8"/>
      <c r="F156" s="9"/>
      <c r="G156" s="8"/>
      <c r="H156" s="8"/>
      <c r="I156" s="9"/>
      <c r="J156" s="12"/>
    </row>
    <row r="157" customFormat="false" ht="15" hidden="false" customHeight="false" outlineLevel="0" collapsed="false">
      <c r="A157" s="7" t="str">
        <f aca="false">IF(validation!A156,IF(validation!N156,"OK","INVALID"),"")</f>
        <v/>
      </c>
      <c r="B157" s="8"/>
      <c r="C157" s="8"/>
      <c r="D157" s="9"/>
      <c r="E157" s="8"/>
      <c r="F157" s="9"/>
      <c r="G157" s="8"/>
      <c r="H157" s="8"/>
      <c r="I157" s="9"/>
      <c r="J157" s="12"/>
    </row>
    <row r="158" customFormat="false" ht="15" hidden="false" customHeight="false" outlineLevel="0" collapsed="false">
      <c r="A158" s="7" t="str">
        <f aca="false">IF(validation!A157,IF(validation!N157,"OK","INVALID"),"")</f>
        <v/>
      </c>
      <c r="B158" s="8"/>
      <c r="C158" s="8"/>
      <c r="D158" s="9"/>
      <c r="E158" s="8"/>
      <c r="F158" s="9"/>
      <c r="G158" s="8"/>
      <c r="H158" s="8"/>
      <c r="I158" s="9"/>
      <c r="J158" s="12"/>
    </row>
    <row r="159" customFormat="false" ht="15" hidden="false" customHeight="false" outlineLevel="0" collapsed="false">
      <c r="A159" s="7" t="str">
        <f aca="false">IF(validation!A158,IF(validation!N158,"OK","INVALID"),"")</f>
        <v/>
      </c>
      <c r="B159" s="8"/>
      <c r="C159" s="8"/>
      <c r="D159" s="9"/>
      <c r="E159" s="8"/>
      <c r="F159" s="9"/>
      <c r="G159" s="8"/>
      <c r="H159" s="8"/>
      <c r="I159" s="9"/>
      <c r="J159" s="12"/>
    </row>
    <row r="160" customFormat="false" ht="15" hidden="false" customHeight="false" outlineLevel="0" collapsed="false">
      <c r="A160" s="7" t="str">
        <f aca="false">IF(validation!A159,IF(validation!N159,"OK","INVALID"),"")</f>
        <v/>
      </c>
      <c r="B160" s="8"/>
      <c r="C160" s="8"/>
      <c r="D160" s="9"/>
      <c r="E160" s="8"/>
      <c r="F160" s="9"/>
      <c r="G160" s="8"/>
      <c r="H160" s="8"/>
      <c r="I160" s="9"/>
      <c r="J160" s="12"/>
    </row>
    <row r="161" customFormat="false" ht="15" hidden="false" customHeight="false" outlineLevel="0" collapsed="false">
      <c r="A161" s="7" t="str">
        <f aca="false">IF(validation!A160,IF(validation!N160,"OK","INVALID"),"")</f>
        <v/>
      </c>
      <c r="B161" s="8"/>
      <c r="C161" s="8"/>
      <c r="D161" s="9"/>
      <c r="E161" s="8"/>
      <c r="F161" s="9"/>
      <c r="G161" s="8"/>
      <c r="H161" s="8"/>
      <c r="I161" s="9"/>
      <c r="J161" s="12"/>
    </row>
    <row r="162" customFormat="false" ht="15" hidden="false" customHeight="false" outlineLevel="0" collapsed="false">
      <c r="A162" s="7" t="str">
        <f aca="false">IF(validation!A161,IF(validation!N161,"OK","INVALID"),"")</f>
        <v/>
      </c>
      <c r="B162" s="8"/>
      <c r="C162" s="8"/>
      <c r="D162" s="9"/>
      <c r="E162" s="8"/>
      <c r="F162" s="9"/>
      <c r="G162" s="8"/>
      <c r="H162" s="8"/>
      <c r="I162" s="9"/>
      <c r="J162" s="12"/>
    </row>
    <row r="163" customFormat="false" ht="15" hidden="false" customHeight="false" outlineLevel="0" collapsed="false">
      <c r="A163" s="7" t="str">
        <f aca="false">IF(validation!A162,IF(validation!N162,"OK","INVALID"),"")</f>
        <v/>
      </c>
      <c r="B163" s="8"/>
      <c r="C163" s="8"/>
      <c r="D163" s="9"/>
      <c r="E163" s="8"/>
      <c r="F163" s="9"/>
      <c r="G163" s="8"/>
      <c r="H163" s="8"/>
      <c r="I163" s="9"/>
      <c r="J163" s="12"/>
    </row>
    <row r="164" customFormat="false" ht="15" hidden="false" customHeight="false" outlineLevel="0" collapsed="false">
      <c r="A164" s="7" t="str">
        <f aca="false">IF(validation!A163,IF(validation!N163,"OK","INVALID"),"")</f>
        <v/>
      </c>
      <c r="B164" s="8"/>
      <c r="C164" s="8"/>
      <c r="D164" s="9"/>
      <c r="E164" s="8"/>
      <c r="F164" s="9"/>
      <c r="G164" s="8"/>
      <c r="H164" s="8"/>
      <c r="I164" s="9"/>
      <c r="J164" s="12"/>
    </row>
    <row r="165" customFormat="false" ht="15" hidden="false" customHeight="false" outlineLevel="0" collapsed="false">
      <c r="A165" s="7" t="str">
        <f aca="false">IF(validation!A164,IF(validation!N164,"OK","INVALID"),"")</f>
        <v/>
      </c>
      <c r="B165" s="8"/>
      <c r="C165" s="8"/>
      <c r="D165" s="9"/>
      <c r="E165" s="8"/>
      <c r="F165" s="9"/>
      <c r="G165" s="8"/>
      <c r="H165" s="8"/>
      <c r="I165" s="9"/>
      <c r="J165" s="12"/>
    </row>
    <row r="166" customFormat="false" ht="15" hidden="false" customHeight="false" outlineLevel="0" collapsed="false">
      <c r="A166" s="7" t="str">
        <f aca="false">IF(validation!A165,IF(validation!N165,"OK","INVALID"),"")</f>
        <v/>
      </c>
      <c r="B166" s="8"/>
      <c r="C166" s="8"/>
      <c r="D166" s="9"/>
      <c r="E166" s="8"/>
      <c r="F166" s="9"/>
      <c r="G166" s="8"/>
      <c r="H166" s="8"/>
      <c r="I166" s="9"/>
      <c r="J166" s="12"/>
    </row>
    <row r="167" customFormat="false" ht="15" hidden="false" customHeight="false" outlineLevel="0" collapsed="false">
      <c r="A167" s="7" t="str">
        <f aca="false">IF(validation!A166,IF(validation!N166,"OK","INVALID"),"")</f>
        <v/>
      </c>
      <c r="B167" s="8"/>
      <c r="C167" s="8"/>
      <c r="D167" s="9"/>
      <c r="E167" s="8"/>
      <c r="F167" s="9"/>
      <c r="G167" s="8"/>
      <c r="H167" s="8"/>
      <c r="I167" s="9"/>
      <c r="J167" s="12"/>
    </row>
    <row r="168" customFormat="false" ht="15" hidden="false" customHeight="false" outlineLevel="0" collapsed="false">
      <c r="A168" s="7" t="str">
        <f aca="false">IF(validation!A167,IF(validation!N167,"OK","INVALID"),"")</f>
        <v/>
      </c>
      <c r="B168" s="8"/>
      <c r="C168" s="8"/>
      <c r="D168" s="9"/>
      <c r="E168" s="8"/>
      <c r="F168" s="9"/>
      <c r="G168" s="8"/>
      <c r="H168" s="8"/>
      <c r="I168" s="9"/>
      <c r="J168" s="12"/>
    </row>
    <row r="169" customFormat="false" ht="15" hidden="false" customHeight="false" outlineLevel="0" collapsed="false">
      <c r="A169" s="7" t="str">
        <f aca="false">IF(validation!A168,IF(validation!N168,"OK","INVALID"),"")</f>
        <v/>
      </c>
      <c r="B169" s="8"/>
      <c r="C169" s="8"/>
      <c r="D169" s="9"/>
      <c r="E169" s="8"/>
      <c r="F169" s="9"/>
      <c r="G169" s="8"/>
      <c r="H169" s="8"/>
      <c r="I169" s="9"/>
      <c r="J169" s="12"/>
    </row>
    <row r="170" customFormat="false" ht="15" hidden="false" customHeight="false" outlineLevel="0" collapsed="false">
      <c r="A170" s="7" t="str">
        <f aca="false">IF(validation!A169,IF(validation!N169,"OK","INVALID"),"")</f>
        <v/>
      </c>
      <c r="B170" s="8"/>
      <c r="C170" s="8"/>
      <c r="D170" s="9"/>
      <c r="E170" s="8"/>
      <c r="F170" s="9"/>
      <c r="G170" s="8"/>
      <c r="H170" s="8"/>
      <c r="I170" s="9"/>
      <c r="J170" s="12"/>
    </row>
    <row r="171" customFormat="false" ht="15" hidden="false" customHeight="false" outlineLevel="0" collapsed="false">
      <c r="A171" s="7" t="str">
        <f aca="false">IF(validation!A170,IF(validation!N170,"OK","INVALID"),"")</f>
        <v/>
      </c>
      <c r="B171" s="8"/>
      <c r="C171" s="8"/>
      <c r="D171" s="9"/>
      <c r="E171" s="8"/>
      <c r="F171" s="9"/>
      <c r="G171" s="8"/>
      <c r="H171" s="8"/>
      <c r="I171" s="9"/>
      <c r="J171" s="12"/>
    </row>
    <row r="172" customFormat="false" ht="15" hidden="false" customHeight="false" outlineLevel="0" collapsed="false">
      <c r="A172" s="7" t="str">
        <f aca="false">IF(validation!A171,IF(validation!N171,"OK","INVALID"),"")</f>
        <v/>
      </c>
      <c r="B172" s="8"/>
      <c r="C172" s="8"/>
      <c r="D172" s="9"/>
      <c r="E172" s="8"/>
      <c r="F172" s="9"/>
      <c r="G172" s="8"/>
      <c r="H172" s="8"/>
      <c r="I172" s="9"/>
      <c r="J172" s="12"/>
    </row>
    <row r="173" customFormat="false" ht="15" hidden="false" customHeight="false" outlineLevel="0" collapsed="false">
      <c r="A173" s="7" t="str">
        <f aca="false">IF(validation!A172,IF(validation!N172,"OK","INVALID"),"")</f>
        <v/>
      </c>
      <c r="B173" s="8"/>
      <c r="C173" s="8"/>
      <c r="D173" s="9"/>
      <c r="E173" s="8"/>
      <c r="F173" s="9"/>
      <c r="G173" s="8"/>
      <c r="H173" s="8"/>
      <c r="I173" s="9"/>
      <c r="J173" s="12"/>
    </row>
    <row r="174" customFormat="false" ht="15" hidden="false" customHeight="false" outlineLevel="0" collapsed="false">
      <c r="A174" s="7" t="str">
        <f aca="false">IF(validation!A173,IF(validation!N173,"OK","INVALID"),"")</f>
        <v/>
      </c>
      <c r="B174" s="8"/>
      <c r="C174" s="8"/>
      <c r="D174" s="9"/>
      <c r="E174" s="8"/>
      <c r="F174" s="9"/>
      <c r="G174" s="8"/>
      <c r="H174" s="8"/>
      <c r="I174" s="9"/>
      <c r="J174" s="12"/>
    </row>
    <row r="175" customFormat="false" ht="15" hidden="false" customHeight="false" outlineLevel="0" collapsed="false">
      <c r="A175" s="7" t="str">
        <f aca="false">IF(validation!A174,IF(validation!N174,"OK","INVALID"),"")</f>
        <v/>
      </c>
      <c r="B175" s="8"/>
      <c r="C175" s="8"/>
      <c r="D175" s="9"/>
      <c r="E175" s="8"/>
      <c r="F175" s="9"/>
      <c r="G175" s="8"/>
      <c r="H175" s="8"/>
      <c r="I175" s="9"/>
      <c r="J175" s="12"/>
    </row>
    <row r="176" customFormat="false" ht="15" hidden="false" customHeight="false" outlineLevel="0" collapsed="false">
      <c r="A176" s="7" t="str">
        <f aca="false">IF(validation!A175,IF(validation!N175,"OK","INVALID"),"")</f>
        <v/>
      </c>
      <c r="B176" s="8"/>
      <c r="C176" s="8"/>
      <c r="D176" s="9"/>
      <c r="E176" s="8"/>
      <c r="F176" s="9"/>
      <c r="G176" s="8"/>
      <c r="H176" s="8"/>
      <c r="I176" s="9"/>
      <c r="J176" s="12"/>
    </row>
    <row r="177" customFormat="false" ht="15" hidden="false" customHeight="false" outlineLevel="0" collapsed="false">
      <c r="A177" s="7" t="str">
        <f aca="false">IF(validation!A176,IF(validation!N176,"OK","INVALID"),"")</f>
        <v/>
      </c>
      <c r="B177" s="8"/>
      <c r="C177" s="8"/>
      <c r="D177" s="9"/>
      <c r="E177" s="8"/>
      <c r="F177" s="9"/>
      <c r="G177" s="8"/>
      <c r="H177" s="8"/>
      <c r="I177" s="9"/>
      <c r="J177" s="12"/>
    </row>
    <row r="178" customFormat="false" ht="15" hidden="false" customHeight="false" outlineLevel="0" collapsed="false">
      <c r="A178" s="7" t="str">
        <f aca="false">IF(validation!A177,IF(validation!N177,"OK","INVALID"),"")</f>
        <v/>
      </c>
      <c r="B178" s="8"/>
      <c r="C178" s="8"/>
      <c r="D178" s="9"/>
      <c r="E178" s="8"/>
      <c r="F178" s="9"/>
      <c r="G178" s="8"/>
      <c r="H178" s="8"/>
      <c r="I178" s="9"/>
      <c r="J178" s="12"/>
    </row>
    <row r="179" customFormat="false" ht="15" hidden="false" customHeight="false" outlineLevel="0" collapsed="false">
      <c r="A179" s="7" t="str">
        <f aca="false">IF(validation!A178,IF(validation!N178,"OK","INVALID"),"")</f>
        <v/>
      </c>
      <c r="B179" s="8"/>
      <c r="C179" s="8"/>
      <c r="D179" s="9"/>
      <c r="E179" s="8"/>
      <c r="F179" s="9"/>
      <c r="G179" s="8"/>
      <c r="H179" s="8"/>
      <c r="I179" s="9"/>
      <c r="J179" s="12"/>
    </row>
    <row r="180" customFormat="false" ht="15" hidden="false" customHeight="false" outlineLevel="0" collapsed="false">
      <c r="A180" s="7" t="str">
        <f aca="false">IF(validation!A179,IF(validation!N179,"OK","INVALID"),"")</f>
        <v/>
      </c>
      <c r="B180" s="8"/>
      <c r="C180" s="8"/>
      <c r="D180" s="9"/>
      <c r="E180" s="8"/>
      <c r="F180" s="9"/>
      <c r="G180" s="8"/>
      <c r="H180" s="8"/>
      <c r="I180" s="9"/>
      <c r="J180" s="12"/>
    </row>
    <row r="181" customFormat="false" ht="15" hidden="false" customHeight="false" outlineLevel="0" collapsed="false">
      <c r="A181" s="7" t="str">
        <f aca="false">IF(validation!A180,IF(validation!N180,"OK","INVALID"),"")</f>
        <v/>
      </c>
      <c r="B181" s="8"/>
      <c r="C181" s="8"/>
      <c r="D181" s="9"/>
      <c r="E181" s="8"/>
      <c r="F181" s="9"/>
      <c r="G181" s="8"/>
      <c r="H181" s="8"/>
      <c r="I181" s="9"/>
      <c r="J181" s="12"/>
    </row>
    <row r="182" customFormat="false" ht="15" hidden="false" customHeight="false" outlineLevel="0" collapsed="false">
      <c r="A182" s="7" t="str">
        <f aca="false">IF(validation!A181,IF(validation!N181,"OK","INVALID"),"")</f>
        <v/>
      </c>
      <c r="B182" s="8"/>
      <c r="C182" s="8"/>
      <c r="D182" s="9"/>
      <c r="E182" s="8"/>
      <c r="F182" s="9"/>
      <c r="G182" s="8"/>
      <c r="H182" s="8"/>
      <c r="I182" s="9"/>
      <c r="J182" s="12"/>
    </row>
    <row r="183" customFormat="false" ht="15" hidden="false" customHeight="false" outlineLevel="0" collapsed="false">
      <c r="A183" s="7" t="str">
        <f aca="false">IF(validation!A182,IF(validation!N182,"OK","INVALID"),"")</f>
        <v/>
      </c>
      <c r="B183" s="8"/>
      <c r="C183" s="8"/>
      <c r="D183" s="9"/>
      <c r="E183" s="8"/>
      <c r="F183" s="9"/>
      <c r="G183" s="8"/>
      <c r="H183" s="8"/>
      <c r="I183" s="9"/>
      <c r="J183" s="12"/>
    </row>
    <row r="184" customFormat="false" ht="15" hidden="false" customHeight="false" outlineLevel="0" collapsed="false">
      <c r="A184" s="7" t="str">
        <f aca="false">IF(validation!A183,IF(validation!N183,"OK","INVALID"),"")</f>
        <v/>
      </c>
      <c r="B184" s="8"/>
      <c r="C184" s="8"/>
      <c r="D184" s="9"/>
      <c r="E184" s="8"/>
      <c r="F184" s="9"/>
      <c r="G184" s="8"/>
      <c r="H184" s="8"/>
      <c r="I184" s="9"/>
      <c r="J184" s="12"/>
    </row>
    <row r="185" customFormat="false" ht="15" hidden="false" customHeight="false" outlineLevel="0" collapsed="false">
      <c r="A185" s="7" t="str">
        <f aca="false">IF(validation!A184,IF(validation!N184,"OK","INVALID"),"")</f>
        <v/>
      </c>
      <c r="B185" s="8"/>
      <c r="C185" s="8"/>
      <c r="D185" s="9"/>
      <c r="E185" s="8"/>
      <c r="F185" s="9"/>
      <c r="G185" s="8"/>
      <c r="H185" s="8"/>
      <c r="I185" s="9"/>
      <c r="J185" s="12"/>
    </row>
    <row r="186" customFormat="false" ht="15" hidden="false" customHeight="false" outlineLevel="0" collapsed="false">
      <c r="A186" s="7" t="str">
        <f aca="false">IF(validation!A185,IF(validation!N185,"OK","INVALID"),"")</f>
        <v/>
      </c>
      <c r="B186" s="8"/>
      <c r="C186" s="8"/>
      <c r="D186" s="9"/>
      <c r="E186" s="8"/>
      <c r="F186" s="9"/>
      <c r="G186" s="8"/>
      <c r="H186" s="8"/>
      <c r="I186" s="9"/>
      <c r="J186" s="12"/>
    </row>
    <row r="187" customFormat="false" ht="15" hidden="false" customHeight="false" outlineLevel="0" collapsed="false">
      <c r="A187" s="7" t="str">
        <f aca="false">IF(validation!A186,IF(validation!N186,"OK","INVALID"),"")</f>
        <v/>
      </c>
      <c r="B187" s="8"/>
      <c r="C187" s="8"/>
      <c r="D187" s="9"/>
      <c r="E187" s="8"/>
      <c r="F187" s="9"/>
      <c r="G187" s="8"/>
      <c r="H187" s="8"/>
      <c r="I187" s="9"/>
      <c r="J187" s="12"/>
    </row>
    <row r="188" customFormat="false" ht="15" hidden="false" customHeight="false" outlineLevel="0" collapsed="false">
      <c r="A188" s="7" t="str">
        <f aca="false">IF(validation!A187,IF(validation!N187,"OK","INVALID"),"")</f>
        <v/>
      </c>
      <c r="B188" s="8"/>
      <c r="C188" s="8"/>
      <c r="D188" s="9"/>
      <c r="E188" s="8"/>
      <c r="F188" s="9"/>
      <c r="G188" s="8"/>
      <c r="H188" s="8"/>
      <c r="I188" s="9"/>
      <c r="J188" s="12"/>
    </row>
    <row r="189" customFormat="false" ht="15" hidden="false" customHeight="false" outlineLevel="0" collapsed="false">
      <c r="A189" s="7" t="str">
        <f aca="false">IF(validation!A188,IF(validation!N188,"OK","INVALID"),"")</f>
        <v/>
      </c>
      <c r="B189" s="8"/>
      <c r="C189" s="8"/>
      <c r="D189" s="9"/>
      <c r="E189" s="8"/>
      <c r="F189" s="9"/>
      <c r="G189" s="8"/>
      <c r="H189" s="8"/>
      <c r="I189" s="9"/>
      <c r="J189" s="12"/>
    </row>
    <row r="190" customFormat="false" ht="15" hidden="false" customHeight="false" outlineLevel="0" collapsed="false">
      <c r="A190" s="7" t="str">
        <f aca="false">IF(validation!A189,IF(validation!N189,"OK","INVALID"),"")</f>
        <v/>
      </c>
      <c r="B190" s="8"/>
      <c r="C190" s="8"/>
      <c r="D190" s="9"/>
      <c r="E190" s="8"/>
      <c r="F190" s="9"/>
      <c r="G190" s="8"/>
      <c r="H190" s="8"/>
      <c r="I190" s="9"/>
      <c r="J190" s="12"/>
    </row>
    <row r="191" customFormat="false" ht="15" hidden="false" customHeight="false" outlineLevel="0" collapsed="false">
      <c r="A191" s="7" t="str">
        <f aca="false">IF(validation!A190,IF(validation!N190,"OK","INVALID"),"")</f>
        <v/>
      </c>
      <c r="B191" s="8"/>
      <c r="C191" s="8"/>
      <c r="D191" s="9"/>
      <c r="E191" s="8"/>
      <c r="F191" s="9"/>
      <c r="G191" s="8"/>
      <c r="H191" s="8"/>
      <c r="I191" s="9"/>
      <c r="J191" s="12"/>
    </row>
    <row r="192" customFormat="false" ht="15" hidden="false" customHeight="false" outlineLevel="0" collapsed="false">
      <c r="A192" s="7" t="str">
        <f aca="false">IF(validation!A191,IF(validation!N191,"OK","INVALID"),"")</f>
        <v/>
      </c>
      <c r="B192" s="8"/>
      <c r="C192" s="8"/>
      <c r="D192" s="9"/>
      <c r="E192" s="8"/>
      <c r="F192" s="9"/>
      <c r="G192" s="8"/>
      <c r="H192" s="8"/>
      <c r="I192" s="9"/>
      <c r="J192" s="12"/>
    </row>
    <row r="193" customFormat="false" ht="15" hidden="false" customHeight="false" outlineLevel="0" collapsed="false">
      <c r="A193" s="7" t="str">
        <f aca="false">IF(validation!A192,IF(validation!N192,"OK","INVALID"),"")</f>
        <v/>
      </c>
      <c r="B193" s="8"/>
      <c r="C193" s="8"/>
      <c r="D193" s="9"/>
      <c r="E193" s="8"/>
      <c r="F193" s="9"/>
      <c r="G193" s="8"/>
      <c r="H193" s="8"/>
      <c r="I193" s="9"/>
      <c r="J193" s="12"/>
    </row>
    <row r="194" customFormat="false" ht="15" hidden="false" customHeight="false" outlineLevel="0" collapsed="false">
      <c r="A194" s="7" t="str">
        <f aca="false">IF(validation!A193,IF(validation!N193,"OK","INVALID"),"")</f>
        <v/>
      </c>
      <c r="B194" s="8"/>
      <c r="C194" s="8"/>
      <c r="D194" s="9"/>
      <c r="E194" s="8"/>
      <c r="F194" s="9"/>
      <c r="G194" s="8"/>
      <c r="H194" s="8"/>
      <c r="I194" s="9"/>
      <c r="J194" s="12"/>
    </row>
    <row r="195" customFormat="false" ht="15" hidden="false" customHeight="false" outlineLevel="0" collapsed="false">
      <c r="A195" s="7" t="str">
        <f aca="false">IF(validation!A194,IF(validation!N194,"OK","INVALID"),"")</f>
        <v/>
      </c>
      <c r="B195" s="8"/>
      <c r="C195" s="8"/>
      <c r="D195" s="9"/>
      <c r="E195" s="8"/>
      <c r="F195" s="9"/>
      <c r="G195" s="8"/>
      <c r="H195" s="8"/>
      <c r="I195" s="9"/>
      <c r="J195" s="12"/>
    </row>
    <row r="196" customFormat="false" ht="15" hidden="false" customHeight="false" outlineLevel="0" collapsed="false">
      <c r="A196" s="7" t="str">
        <f aca="false">IF(validation!A195,IF(validation!N195,"OK","INVALID"),"")</f>
        <v/>
      </c>
      <c r="B196" s="8"/>
      <c r="C196" s="8"/>
      <c r="D196" s="9"/>
      <c r="E196" s="8"/>
      <c r="F196" s="9"/>
      <c r="G196" s="8"/>
      <c r="H196" s="8"/>
      <c r="I196" s="9"/>
      <c r="J196" s="12"/>
    </row>
    <row r="197" customFormat="false" ht="15" hidden="false" customHeight="false" outlineLevel="0" collapsed="false">
      <c r="A197" s="7" t="str">
        <f aca="false">IF(validation!A196,IF(validation!N196,"OK","INVALID"),"")</f>
        <v/>
      </c>
      <c r="B197" s="8"/>
      <c r="C197" s="8"/>
      <c r="D197" s="9"/>
      <c r="E197" s="8"/>
      <c r="F197" s="9"/>
      <c r="G197" s="8"/>
      <c r="H197" s="8"/>
      <c r="I197" s="9"/>
      <c r="J197" s="12"/>
    </row>
    <row r="198" customFormat="false" ht="15" hidden="false" customHeight="false" outlineLevel="0" collapsed="false">
      <c r="A198" s="7" t="str">
        <f aca="false">IF(validation!A197,IF(validation!N197,"OK","INVALID"),"")</f>
        <v/>
      </c>
      <c r="B198" s="8"/>
      <c r="C198" s="8"/>
      <c r="D198" s="9"/>
      <c r="E198" s="8"/>
      <c r="F198" s="9"/>
      <c r="G198" s="8"/>
      <c r="H198" s="8"/>
      <c r="I198" s="9"/>
      <c r="J198" s="12"/>
    </row>
    <row r="199" customFormat="false" ht="15" hidden="false" customHeight="false" outlineLevel="0" collapsed="false">
      <c r="A199" s="7" t="str">
        <f aca="false">IF(validation!A198,IF(validation!N198,"OK","INVALID"),"")</f>
        <v/>
      </c>
      <c r="B199" s="8"/>
      <c r="C199" s="8"/>
      <c r="D199" s="9"/>
      <c r="E199" s="8"/>
      <c r="F199" s="9"/>
      <c r="G199" s="8"/>
      <c r="H199" s="8"/>
      <c r="I199" s="9"/>
      <c r="J199" s="12"/>
    </row>
    <row r="200" customFormat="false" ht="15" hidden="false" customHeight="false" outlineLevel="0" collapsed="false">
      <c r="A200" s="7" t="str">
        <f aca="false">IF(validation!A199,IF(validation!N199,"OK","INVALID"),"")</f>
        <v/>
      </c>
      <c r="B200" s="8"/>
      <c r="C200" s="8"/>
      <c r="D200" s="9"/>
      <c r="E200" s="8"/>
      <c r="F200" s="9"/>
      <c r="G200" s="8"/>
      <c r="H200" s="8"/>
      <c r="I200" s="9"/>
      <c r="J200" s="12"/>
    </row>
    <row r="201" customFormat="false" ht="15" hidden="false" customHeight="false" outlineLevel="0" collapsed="false">
      <c r="A201" s="7" t="str">
        <f aca="false">IF(validation!A200,IF(validation!N200,"OK","INVALID"),"")</f>
        <v/>
      </c>
      <c r="B201" s="8"/>
      <c r="C201" s="8"/>
      <c r="D201" s="9"/>
      <c r="E201" s="8"/>
      <c r="F201" s="9"/>
      <c r="G201" s="8"/>
      <c r="H201" s="8"/>
      <c r="I201" s="9"/>
      <c r="J201" s="12"/>
    </row>
    <row r="202" customFormat="false" ht="15.75" hidden="false" customHeight="false" outlineLevel="0" collapsed="false">
      <c r="A202" s="13" t="s">
        <v>18</v>
      </c>
      <c r="B202" s="13"/>
      <c r="C202" s="13"/>
      <c r="D202" s="13"/>
      <c r="E202" s="13"/>
      <c r="F202" s="13"/>
      <c r="G202" s="13"/>
      <c r="H202" s="13"/>
      <c r="I202" s="13"/>
      <c r="J202" s="13"/>
    </row>
  </sheetData>
  <sheetProtection sheet="true" password="c702" objects="true" scenarios="true"/>
  <mergeCells count="2">
    <mergeCell ref="A1:J1"/>
    <mergeCell ref="A202:J202"/>
  </mergeCells>
  <conditionalFormatting sqref="A1">
    <cfRule type="containsText" priority="2" operator="containsText" aboveAverage="0" equalAverage="0" bottom="0" percent="0" rank="0" text="(empty)" dxfId="0">
      <formula>NOT(ISERROR(SEARCH("(empty)",A1)))</formula>
    </cfRule>
    <cfRule type="containsText" priority="3" operator="containsText" aboveAverage="0" equalAverage="0" bottom="0" percent="0" rank="0" text="(invalid)" dxfId="1">
      <formula>NOT(ISERROR(SEARCH("(invalid)",A1)))</formula>
    </cfRule>
    <cfRule type="containsText" priority="4" operator="containsText" aboveAverage="0" equalAverage="0" bottom="0" percent="0" rank="0" text="(ok)" dxfId="2">
      <formula>NOT(ISERROR(SEARCH("(ok)",A1)))</formula>
    </cfRule>
  </conditionalFormatting>
  <conditionalFormatting sqref="A3:A201">
    <cfRule type="cellIs" priority="5" operator="equal" aboveAverage="0" equalAverage="0" bottom="0" percent="0" rank="0" text="" dxfId="3">
      <formula>"OK"</formula>
    </cfRule>
    <cfRule type="cellIs" priority="6" operator="equal" aboveAverage="0" equalAverage="0" bottom="0" percent="0" rank="0" text="" dxfId="4">
      <formula>"INVALID"</formula>
    </cfRule>
  </conditionalFormatting>
  <conditionalFormatting sqref="A1:J1">
    <cfRule type="containsText" priority="7" operator="containsText" aboveAverage="0" equalAverage="0" bottom="0" percent="0" rank="0" text="(blank)" dxfId="5">
      <formula>NOT(ISERROR(SEARCH("(blank)",A1)))</formula>
    </cfRule>
  </conditionalFormatting>
  <dataValidations count="8">
    <dataValidation allowBlank="true" errorStyle="stop" operator="between" showDropDown="false" showErrorMessage="true" showInputMessage="true" sqref="I4:I201" type="list">
      <formula1>data!$G$2:$G$4</formula1>
      <formula2>0</formula2>
    </dataValidation>
    <dataValidation allowBlank="false" errorStyle="stop" operator="between" showDropDown="false" showErrorMessage="true" showInputMessage="true" sqref="C3:C201" type="list">
      <formula1>data!$A$2:$A$705</formula1>
      <formula2>0</formula2>
    </dataValidation>
    <dataValidation allowBlank="true" errorStyle="stop" operator="between" showDropDown="false" showErrorMessage="true" showInputMessage="true" sqref="F3:F201" type="list">
      <formula1>data!$I$2:$I$29</formula1>
      <formula2>0</formula2>
    </dataValidation>
    <dataValidation allowBlank="true" errorStyle="stop" operator="between" showDropDown="false" showErrorMessage="true" showInputMessage="true" sqref="E203:F242" type="list">
      <formula1>data!$M$2:$M$15</formula1>
      <formula2>0</formula2>
    </dataValidation>
    <dataValidation allowBlank="true" errorStyle="stop" operator="between" showDropDown="false" showErrorMessage="true" showInputMessage="true" sqref="I3" type="list">
      <formula1>data!$G$2:$G$6</formula1>
      <formula2>0</formula2>
    </dataValidation>
    <dataValidation allowBlank="true" errorStyle="stop" operator="between" showDropDown="false" showErrorMessage="true" showInputMessage="true" sqref="D3" type="list">
      <formula1>data!$C$2:$C$6</formula1>
      <formula2>0</formula2>
    </dataValidation>
    <dataValidation allowBlank="true" errorStyle="stop" operator="between" showDropDown="false" showErrorMessage="true" showInputMessage="true" sqref="D4:D201" type="list">
      <formula1>data!$C$2:$C$6</formula1>
      <formula2>0</formula2>
    </dataValidation>
    <dataValidation allowBlank="true" errorStyle="stop" operator="between" showDropDown="false" showErrorMessage="true" showInputMessage="true" sqref="E3:E201" type="list">
      <formula1>data!$M$2:$M$38</formula1>
      <formula2>0</formula2>
    </dataValidation>
  </dataValidations>
  <hyperlinks>
    <hyperlink ref="H3" r:id="rId1" display="https://www.tabmo.i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3" activeCellId="0" sqref="K13"/>
    </sheetView>
  </sheetViews>
  <sheetFormatPr defaultColWidth="8.83984375" defaultRowHeight="15.75" zeroHeight="false" outlineLevelRow="0" outlineLevelCol="0"/>
  <cols>
    <col collapsed="false" customWidth="true" hidden="false" outlineLevel="0" max="1" min="1" style="1" width="17.83"/>
    <col collapsed="false" customWidth="true" hidden="false" outlineLevel="0" max="2" min="2" style="1" width="8.66"/>
    <col collapsed="false" customWidth="true" hidden="false" outlineLevel="0" max="3" min="3" style="1" width="10.66"/>
    <col collapsed="false" customWidth="true" hidden="false" outlineLevel="0" max="4" min="4" style="1" width="10.5"/>
    <col collapsed="false" customWidth="false" hidden="false" outlineLevel="0" max="5" min="5" style="1" width="8.83"/>
    <col collapsed="false" customWidth="true" hidden="false" outlineLevel="0" max="6" min="6" style="1" width="9.17"/>
    <col collapsed="false" customWidth="true" hidden="false" outlineLevel="0" max="7" min="7" style="1" width="7.66"/>
    <col collapsed="false" customWidth="true" hidden="false" outlineLevel="0" max="8" min="8" style="1" width="10.17"/>
    <col collapsed="false" customWidth="true" hidden="false" outlineLevel="0" max="9" min="9" style="1" width="10.66"/>
    <col collapsed="false" customWidth="true" hidden="false" outlineLevel="0" max="10" min="10" style="1" width="38.66"/>
    <col collapsed="false" customWidth="true" hidden="false" outlineLevel="0" max="11" min="11" style="1" width="10.5"/>
    <col collapsed="false" customWidth="true" hidden="false" outlineLevel="0" max="12" min="12" style="14" width="8.17"/>
    <col collapsed="false" customWidth="true" hidden="false" outlineLevel="0" max="13" min="13" style="1" width="7.83"/>
    <col collapsed="false" customWidth="true" hidden="false" outlineLevel="0" max="14" min="14" style="1" width="14.16"/>
    <col collapsed="false" customWidth="true" hidden="false" outlineLevel="0" max="15" min="15" style="15" width="14.16"/>
    <col collapsed="false" customWidth="true" hidden="false" outlineLevel="0" max="16" min="16" style="1" width="17.5"/>
    <col collapsed="false" customWidth="false" hidden="false" outlineLevel="0" max="20" min="17" style="1" width="8.83"/>
    <col collapsed="false" customWidth="true" hidden="false" outlineLevel="0" max="21" min="21" style="1" width="17.83"/>
    <col collapsed="false" customWidth="false" hidden="false" outlineLevel="0" max="1024" min="22" style="1" width="8.83"/>
  </cols>
  <sheetData>
    <row r="1" customFormat="false" ht="15.75" hidden="false" customHeight="false" outlineLevel="0" collapsed="false">
      <c r="A1" s="1" t="s">
        <v>19</v>
      </c>
      <c r="B1" s="1" t="s">
        <v>20</v>
      </c>
      <c r="C1" s="1" t="s">
        <v>21</v>
      </c>
      <c r="D1" s="1" t="s">
        <v>22</v>
      </c>
      <c r="E1" s="1" t="s">
        <v>23</v>
      </c>
      <c r="F1" s="1" t="s">
        <v>24</v>
      </c>
      <c r="G1" s="1" t="s">
        <v>25</v>
      </c>
      <c r="H1" s="1" t="s">
        <v>26</v>
      </c>
      <c r="I1" s="1" t="s">
        <v>27</v>
      </c>
      <c r="J1" s="1" t="s">
        <v>28</v>
      </c>
      <c r="K1" s="1" t="s">
        <v>29</v>
      </c>
      <c r="L1" s="14" t="s">
        <v>30</v>
      </c>
      <c r="M1" s="1" t="s">
        <v>31</v>
      </c>
      <c r="N1" s="1" t="s">
        <v>32</v>
      </c>
      <c r="O1" s="16" t="s">
        <v>33</v>
      </c>
      <c r="P1" s="1" t="s">
        <v>34</v>
      </c>
      <c r="Q1" s="1" t="s">
        <v>35</v>
      </c>
    </row>
    <row r="2" customFormat="false" ht="15.65" hidden="false" customHeight="false" outlineLevel="0" collapsed="false">
      <c r="A2" s="17" t="b">
        <f aca="false">COUNTIF(creatives!B3:J3, "*")&gt;0</f>
        <v>1</v>
      </c>
      <c r="B2" s="17" t="n">
        <f aca="false">IF(OR(NOT(ISTEXT(creatives!B3)), ISBLANK(creatives!B3), LEN(TRIM(creatives!B3))&gt;200), 1, 0)</f>
        <v>0</v>
      </c>
      <c r="C2" s="17" t="n">
        <f aca="false">IF(NOT(ISNUMBER(MATCH(creatives!D3,data!C$2:C$6,0))),1,0)</f>
        <v>0</v>
      </c>
      <c r="D2" s="17" t="n">
        <f aca="false">IF(OR(LEFT(creatives!G3,7)="http://",LEFT(creatives!G3,8)="https://"), 0, 1)</f>
        <v>0</v>
      </c>
      <c r="E2" s="17" t="n">
        <f aca="false">IF(OR(LEFT(creatives!H3,7)="http://",LEFT(creatives!H3,8)="https://"), 0, 1)</f>
        <v>0</v>
      </c>
      <c r="F2" s="17" t="n">
        <f aca="false">IF(NOT(ISNUMBER(MATCH(creatives!I3,data!G$2:G$6,0))),1,0)</f>
        <v>0</v>
      </c>
      <c r="G2" s="17" t="n">
        <f aca="false">IF(ISBLANK(creatives!J3), 1, 0)</f>
        <v>0</v>
      </c>
      <c r="H2" s="17" t="str">
        <f aca="false">IF(NOT(ISBLANK(creatives!F3)),VLOOKUP(creatives!F3,data!I$2:J$29,2,0),"")</f>
        <v/>
      </c>
      <c r="I2" s="17" t="n">
        <f aca="false">IF(AND(NOT(ISBLANK(creatives!F3)),NOT(ISNUMBER(MATCH(H2,data!J$2:J$29,0)))),1,0)</f>
        <v>0</v>
      </c>
      <c r="J2" s="17" t="str">
        <f aca="false">IF(NOT(ISBLANK(creatives!E3)),VLOOKUP(creatives!E3,data!M$2:N$38,2,0),"")</f>
        <v>24248c02-b368-4950-9571-058ff4637240</v>
      </c>
      <c r="K2" s="17" t="n">
        <f aca="false">IF(NOT(ISNUMBER(MATCH(J2,data!N$2:N$38,0))),1,0)</f>
        <v>0</v>
      </c>
      <c r="L2" s="18" t="str">
        <f aca="false">IF(NOT(ISBLANK(creatives!C3)),VLOOKUP(creatives!C3,data!$A$2:$B$705,2,0),"")</f>
        <v>1</v>
      </c>
      <c r="M2" s="17" t="n">
        <f aca="false">IF(NOT(ISNUMBER(MATCH(L2,data!B$2:B$705,0))),1,0)</f>
        <v>0</v>
      </c>
      <c r="N2" s="19" t="b">
        <f aca="false">IF(NOT(A2),TRUE(),AND(A2,SUM(B2,C2,D2,E2,F2,G2,K2,M2,I2)=0))</f>
        <v>1</v>
      </c>
      <c r="O2" s="20" t="n">
        <v>1</v>
      </c>
      <c r="P2" s="19" t="b">
        <f aca="false">IF(A2,COUNTIF(A$2:A2, CONCATENATE("=", TRUE()))=O2, TRUE())</f>
        <v>1</v>
      </c>
      <c r="Q2" s="1" t="n">
        <f aca="false">IF(A2,O2,0)</f>
        <v>1</v>
      </c>
    </row>
    <row r="3" customFormat="false" ht="15.65" hidden="false" customHeight="false" outlineLevel="0" collapsed="false">
      <c r="A3" s="17" t="b">
        <f aca="false">COUNTIF(creatives!B4:J4, "*")&gt;0</f>
        <v>0</v>
      </c>
      <c r="B3" s="17" t="n">
        <f aca="false">IF(OR(NOT(ISTEXT(creatives!B4)), ISBLANK(creatives!B4), LEN(TRIM(creatives!B4))&gt;200), 1, 0)</f>
        <v>1</v>
      </c>
      <c r="C3" s="17" t="n">
        <f aca="false">IF(NOT(ISNUMBER(MATCH(creatives!D4,data!C$2:C$6,0))),1,0)</f>
        <v>1</v>
      </c>
      <c r="D3" s="17" t="n">
        <f aca="false">IF(OR(LEFT(creatives!G4,7)="http://",LEFT(creatives!G4,8)="https://"), 0, 1)</f>
        <v>1</v>
      </c>
      <c r="E3" s="17" t="n">
        <f aca="false">IF(OR(LEFT(creatives!H4,7)="http://",LEFT(creatives!H4,8)="https://"), 0, 1)</f>
        <v>1</v>
      </c>
      <c r="F3" s="17" t="n">
        <f aca="false">IF(NOT(ISNUMBER(MATCH(creatives!I4,data!G$2:G$6,0))),1,0)</f>
        <v>1</v>
      </c>
      <c r="G3" s="17" t="n">
        <f aca="false">IF(ISBLANK(creatives!J4), 1, 0)</f>
        <v>1</v>
      </c>
      <c r="H3" s="17" t="str">
        <f aca="false">IF(NOT(ISBLANK(creatives!F4)),VLOOKUP(creatives!F4,data!I$2:J$29,2,0),"")</f>
        <v/>
      </c>
      <c r="I3" s="17" t="n">
        <f aca="false">IF(AND(NOT(ISBLANK(creatives!F4)),NOT(ISNUMBER(MATCH(H3,data!J$2:J$29,0)))),1,0)</f>
        <v>0</v>
      </c>
      <c r="J3" s="17" t="str">
        <f aca="false">IF(NOT(ISBLANK(creatives!E4)),VLOOKUP(creatives!E4,data!M$2:N$38,2,0),"")</f>
        <v/>
      </c>
      <c r="K3" s="17" t="n">
        <f aca="false">IF(NOT(ISNUMBER(MATCH(J3,data!N$2:N$38,0))),1,0)</f>
        <v>1</v>
      </c>
      <c r="L3" s="18" t="str">
        <f aca="false">IF(NOT(ISBLANK(creatives!C4)),VLOOKUP(creatives!C4,data!$A$2:$B$705,2,0),"")</f>
        <v/>
      </c>
      <c r="M3" s="17" t="n">
        <f aca="false">IF(NOT(ISNUMBER(MATCH(L3,data!B$2:B$705,0))),1,0)</f>
        <v>1</v>
      </c>
      <c r="N3" s="19" t="b">
        <f aca="false">IF(NOT(A3),TRUE(),AND(A3,SUM(B3,C3,D3,E3,F3,G3,K3,M3,I3)=0))</f>
        <v>1</v>
      </c>
      <c r="O3" s="20" t="n">
        <v>2</v>
      </c>
      <c r="P3" s="19" t="b">
        <f aca="false">IF(A3,COUNTIF(A$2:A3, CONCATENATE("=", TRUE()))=O3, TRUE())</f>
        <v>1</v>
      </c>
      <c r="Q3" s="1" t="n">
        <f aca="false">IF(A3,O3,0)</f>
        <v>0</v>
      </c>
    </row>
    <row r="4" customFormat="false" ht="15.65" hidden="false" customHeight="false" outlineLevel="0" collapsed="false">
      <c r="A4" s="17" t="b">
        <f aca="false">COUNTIF(creatives!B5:J5, "*")&gt;0</f>
        <v>0</v>
      </c>
      <c r="B4" s="17" t="n">
        <f aca="false">IF(OR(NOT(ISTEXT(creatives!B5)), ISBLANK(creatives!B5), LEN(TRIM(creatives!B5))&gt;200), 1, 0)</f>
        <v>1</v>
      </c>
      <c r="C4" s="17" t="n">
        <f aca="false">IF(NOT(ISNUMBER(MATCH(creatives!D5,data!C$2:C$6,0))),1,0)</f>
        <v>1</v>
      </c>
      <c r="D4" s="17" t="n">
        <f aca="false">IF(OR(LEFT(creatives!G5,7)="http://",LEFT(creatives!G5,8)="https://"), 0, 1)</f>
        <v>1</v>
      </c>
      <c r="E4" s="17" t="n">
        <f aca="false">IF(OR(LEFT(creatives!H5,7)="http://",LEFT(creatives!H5,8)="https://"), 0, 1)</f>
        <v>1</v>
      </c>
      <c r="F4" s="17" t="n">
        <f aca="false">IF(NOT(ISNUMBER(MATCH(creatives!I5,data!G$2:G$6,0))),1,0)</f>
        <v>1</v>
      </c>
      <c r="G4" s="17" t="n">
        <f aca="false">IF(ISBLANK(creatives!J5), 1, 0)</f>
        <v>1</v>
      </c>
      <c r="H4" s="17" t="str">
        <f aca="false">IF(NOT(ISBLANK(creatives!F5)),VLOOKUP(creatives!F5,data!I$2:J$29,2,0),"")</f>
        <v/>
      </c>
      <c r="I4" s="17" t="n">
        <f aca="false">IF(AND(NOT(ISBLANK(creatives!F5)),NOT(ISNUMBER(MATCH(H4,data!J$2:J$29,0)))),1,0)</f>
        <v>0</v>
      </c>
      <c r="J4" s="17" t="str">
        <f aca="false">IF(NOT(ISBLANK(creatives!E5)),VLOOKUP(creatives!E5,data!M$2:N$38,2,0),"")</f>
        <v/>
      </c>
      <c r="K4" s="17" t="n">
        <f aca="false">IF(NOT(ISNUMBER(MATCH(J4,data!N$2:N$38,0))),1,0)</f>
        <v>1</v>
      </c>
      <c r="L4" s="18" t="str">
        <f aca="false">IF(NOT(ISBLANK(creatives!C5)),VLOOKUP(creatives!C5,data!$A$2:$B$705,2,0),"")</f>
        <v/>
      </c>
      <c r="M4" s="17" t="n">
        <f aca="false">IF(NOT(ISNUMBER(MATCH(L4,data!B$2:B$705,0))),1,0)</f>
        <v>1</v>
      </c>
      <c r="N4" s="19" t="b">
        <f aca="false">IF(NOT(A4),TRUE(),AND(A4,SUM(B4,C4,D4,E4,F4,G4,K4,M4,I4)=0))</f>
        <v>1</v>
      </c>
      <c r="O4" s="20" t="n">
        <v>3</v>
      </c>
      <c r="P4" s="19" t="b">
        <f aca="false">IF(A4,COUNTIF(A$2:A4, CONCATENATE("=", TRUE()))=O4, TRUE())</f>
        <v>1</v>
      </c>
      <c r="Q4" s="1" t="n">
        <f aca="false">IF(A4,O4,0)</f>
        <v>0</v>
      </c>
    </row>
    <row r="5" customFormat="false" ht="15.65" hidden="false" customHeight="false" outlineLevel="0" collapsed="false">
      <c r="A5" s="17" t="b">
        <f aca="false">COUNTIF(creatives!B6:J6, "*")&gt;0</f>
        <v>0</v>
      </c>
      <c r="B5" s="17" t="n">
        <f aca="false">IF(OR(NOT(ISTEXT(creatives!B6)), ISBLANK(creatives!B6), LEN(TRIM(creatives!B6))&gt;200), 1, 0)</f>
        <v>1</v>
      </c>
      <c r="C5" s="17" t="n">
        <f aca="false">IF(NOT(ISNUMBER(MATCH(creatives!D6,data!C$2:C$6,0))),1,0)</f>
        <v>1</v>
      </c>
      <c r="D5" s="17" t="n">
        <f aca="false">IF(OR(LEFT(creatives!G6,7)="http://",LEFT(creatives!G6,8)="https://"), 0, 1)</f>
        <v>1</v>
      </c>
      <c r="E5" s="17" t="n">
        <f aca="false">IF(OR(LEFT(creatives!H6,7)="http://",LEFT(creatives!H6,8)="https://"), 0, 1)</f>
        <v>1</v>
      </c>
      <c r="F5" s="17" t="n">
        <f aca="false">IF(NOT(ISNUMBER(MATCH(creatives!I6,data!G$2:G$6,0))),1,0)</f>
        <v>1</v>
      </c>
      <c r="G5" s="17" t="n">
        <f aca="false">IF(ISBLANK(creatives!J6), 1, 0)</f>
        <v>1</v>
      </c>
      <c r="H5" s="17" t="str">
        <f aca="false">IF(NOT(ISBLANK(creatives!F6)),VLOOKUP(creatives!F6,data!I$2:J$29,2,0),"")</f>
        <v/>
      </c>
      <c r="I5" s="17" t="n">
        <f aca="false">IF(AND(NOT(ISBLANK(creatives!F6)),NOT(ISNUMBER(MATCH(H5,data!J$2:J$29,0)))),1,0)</f>
        <v>0</v>
      </c>
      <c r="J5" s="17" t="str">
        <f aca="false">IF(NOT(ISBLANK(creatives!E6)),VLOOKUP(creatives!E6,data!M$2:N$38,2,0),"")</f>
        <v/>
      </c>
      <c r="K5" s="17" t="n">
        <f aca="false">IF(NOT(ISNUMBER(MATCH(J5,data!N$2:N$38,0))),1,0)</f>
        <v>1</v>
      </c>
      <c r="L5" s="18" t="str">
        <f aca="false">IF(NOT(ISBLANK(creatives!C6)),VLOOKUP(creatives!C6,data!$A$2:$B$705,2,0),"")</f>
        <v/>
      </c>
      <c r="M5" s="17" t="n">
        <f aca="false">IF(NOT(ISNUMBER(MATCH(L5,data!B$2:B$705,0))),1,0)</f>
        <v>1</v>
      </c>
      <c r="N5" s="19" t="b">
        <f aca="false">IF(NOT(A5),TRUE(),AND(A5,SUM(B5,C5,D5,E5,F5,G5,K5,M5,I5)=0))</f>
        <v>1</v>
      </c>
      <c r="O5" s="20" t="n">
        <v>4</v>
      </c>
      <c r="P5" s="19" t="b">
        <f aca="false">IF(A5,COUNTIF(A$2:A5, CONCATENATE("=", TRUE()))=O5, TRUE())</f>
        <v>1</v>
      </c>
      <c r="Q5" s="1" t="n">
        <f aca="false">IF(A5,O5,0)</f>
        <v>0</v>
      </c>
    </row>
    <row r="6" customFormat="false" ht="15.65" hidden="false" customHeight="false" outlineLevel="0" collapsed="false">
      <c r="A6" s="17" t="b">
        <f aca="false">COUNTIF(creatives!B7:J7, "*")&gt;0</f>
        <v>0</v>
      </c>
      <c r="B6" s="17" t="n">
        <f aca="false">IF(OR(NOT(ISTEXT(creatives!B7)), ISBLANK(creatives!B7), LEN(TRIM(creatives!B7))&gt;200), 1, 0)</f>
        <v>1</v>
      </c>
      <c r="C6" s="17" t="n">
        <f aca="false">IF(NOT(ISNUMBER(MATCH(creatives!D7,data!C$2:C$6,0))),1,0)</f>
        <v>1</v>
      </c>
      <c r="D6" s="17" t="n">
        <f aca="false">IF(OR(LEFT(creatives!G7,7)="http://",LEFT(creatives!G7,8)="https://"), 0, 1)</f>
        <v>1</v>
      </c>
      <c r="E6" s="17" t="n">
        <f aca="false">IF(OR(LEFT(creatives!H7,7)="http://",LEFT(creatives!H7,8)="https://"), 0, 1)</f>
        <v>1</v>
      </c>
      <c r="F6" s="17" t="n">
        <f aca="false">IF(NOT(ISNUMBER(MATCH(creatives!I7,data!G$2:G$6,0))),1,0)</f>
        <v>1</v>
      </c>
      <c r="G6" s="17" t="n">
        <f aca="false">IF(ISBLANK(creatives!J7), 1, 0)</f>
        <v>1</v>
      </c>
      <c r="H6" s="17" t="str">
        <f aca="false">IF(NOT(ISBLANK(creatives!F7)),VLOOKUP(creatives!F7,data!I$2:J$29,2,0),"")</f>
        <v/>
      </c>
      <c r="I6" s="17" t="n">
        <f aca="false">IF(AND(NOT(ISBLANK(creatives!F7)),NOT(ISNUMBER(MATCH(H6,data!J$2:J$29,0)))),1,0)</f>
        <v>0</v>
      </c>
      <c r="J6" s="17" t="str">
        <f aca="false">IF(NOT(ISBLANK(creatives!E7)),VLOOKUP(creatives!E7,data!M$2:N$38,2,0),"")</f>
        <v/>
      </c>
      <c r="K6" s="17" t="n">
        <f aca="false">IF(NOT(ISNUMBER(MATCH(J6,data!N$2:N$38,0))),1,0)</f>
        <v>1</v>
      </c>
      <c r="L6" s="18" t="str">
        <f aca="false">IF(NOT(ISBLANK(creatives!C7)),VLOOKUP(creatives!C7,data!$A$2:$B$705,2,0),"")</f>
        <v/>
      </c>
      <c r="M6" s="17" t="n">
        <f aca="false">IF(NOT(ISNUMBER(MATCH(L6,data!B$2:B$705,0))),1,0)</f>
        <v>1</v>
      </c>
      <c r="N6" s="19" t="b">
        <f aca="false">IF(NOT(A6),TRUE(),AND(A6,SUM(B6,C6,D6,E6,F6,G6,K6,M6,I6)=0))</f>
        <v>1</v>
      </c>
      <c r="O6" s="20" t="n">
        <v>5</v>
      </c>
      <c r="P6" s="19" t="b">
        <f aca="false">IF(A6,COUNTIF(A$2:A6, CONCATENATE("=", TRUE()))=O6, TRUE())</f>
        <v>1</v>
      </c>
      <c r="Q6" s="1" t="n">
        <f aca="false">IF(A6,O6,0)</f>
        <v>0</v>
      </c>
    </row>
    <row r="7" customFormat="false" ht="15.65" hidden="false" customHeight="false" outlineLevel="0" collapsed="false">
      <c r="A7" s="17" t="b">
        <f aca="false">COUNTIF(creatives!B8:J8, "*")&gt;0</f>
        <v>0</v>
      </c>
      <c r="B7" s="17" t="n">
        <f aca="false">IF(OR(NOT(ISTEXT(creatives!B8)), ISBLANK(creatives!B8), LEN(TRIM(creatives!B8))&gt;200), 1, 0)</f>
        <v>1</v>
      </c>
      <c r="C7" s="17" t="n">
        <f aca="false">IF(NOT(ISNUMBER(MATCH(creatives!D8,data!C$2:C$6,0))),1,0)</f>
        <v>1</v>
      </c>
      <c r="D7" s="17" t="n">
        <f aca="false">IF(OR(LEFT(creatives!G8,7)="http://",LEFT(creatives!G8,8)="https://"), 0, 1)</f>
        <v>1</v>
      </c>
      <c r="E7" s="17" t="n">
        <f aca="false">IF(OR(LEFT(creatives!H8,7)="http://",LEFT(creatives!H8,8)="https://"), 0, 1)</f>
        <v>1</v>
      </c>
      <c r="F7" s="17" t="n">
        <f aca="false">IF(NOT(ISNUMBER(MATCH(creatives!I8,data!G$2:G$6,0))),1,0)</f>
        <v>1</v>
      </c>
      <c r="G7" s="17" t="n">
        <f aca="false">IF(ISBLANK(creatives!J8), 1, 0)</f>
        <v>1</v>
      </c>
      <c r="H7" s="17" t="str">
        <f aca="false">IF(NOT(ISBLANK(creatives!F8)),VLOOKUP(creatives!F8,data!I$2:J$29,2,0),"")</f>
        <v/>
      </c>
      <c r="I7" s="17" t="n">
        <f aca="false">IF(AND(NOT(ISBLANK(creatives!F8)),NOT(ISNUMBER(MATCH(H7,data!J$2:J$29,0)))),1,0)</f>
        <v>0</v>
      </c>
      <c r="J7" s="17" t="str">
        <f aca="false">IF(NOT(ISBLANK(creatives!E8)),VLOOKUP(creatives!E8,data!M$2:N$38,2,0),"")</f>
        <v/>
      </c>
      <c r="K7" s="17" t="n">
        <f aca="false">IF(NOT(ISNUMBER(MATCH(J7,data!N$2:N$38,0))),1,0)</f>
        <v>1</v>
      </c>
      <c r="L7" s="18" t="str">
        <f aca="false">IF(NOT(ISBLANK(creatives!C8)),VLOOKUP(creatives!C8,data!$A$2:$B$705,2,0),"")</f>
        <v/>
      </c>
      <c r="M7" s="17" t="n">
        <f aca="false">IF(NOT(ISNUMBER(MATCH(L7,data!B$2:B$705,0))),1,0)</f>
        <v>1</v>
      </c>
      <c r="N7" s="19" t="b">
        <f aca="false">IF(NOT(A7),TRUE(),AND(A7,SUM(B7,C7,D7,E7,F7,G7,K7,M7,I7)=0))</f>
        <v>1</v>
      </c>
      <c r="O7" s="20" t="n">
        <v>6</v>
      </c>
      <c r="P7" s="19" t="b">
        <f aca="false">IF(A7,COUNTIF(A$2:A7, CONCATENATE("=", TRUE()))=O7, TRUE())</f>
        <v>1</v>
      </c>
      <c r="Q7" s="1" t="n">
        <f aca="false">IF(A7,O7,0)</f>
        <v>0</v>
      </c>
    </row>
    <row r="8" customFormat="false" ht="15.65" hidden="false" customHeight="false" outlineLevel="0" collapsed="false">
      <c r="A8" s="17" t="b">
        <f aca="false">COUNTIF(creatives!B9:J9, "*")&gt;0</f>
        <v>0</v>
      </c>
      <c r="B8" s="17" t="n">
        <f aca="false">IF(OR(NOT(ISTEXT(creatives!B9)), ISBLANK(creatives!B9), LEN(TRIM(creatives!B9))&gt;200), 1, 0)</f>
        <v>1</v>
      </c>
      <c r="C8" s="17" t="n">
        <f aca="false">IF(NOT(ISNUMBER(MATCH(creatives!D9,data!C$2:C$6,0))),1,0)</f>
        <v>1</v>
      </c>
      <c r="D8" s="17" t="n">
        <f aca="false">IF(OR(LEFT(creatives!G9,7)="http://",LEFT(creatives!G9,8)="https://"), 0, 1)</f>
        <v>1</v>
      </c>
      <c r="E8" s="17" t="n">
        <f aca="false">IF(OR(LEFT(creatives!H9,7)="http://",LEFT(creatives!H9,8)="https://"), 0, 1)</f>
        <v>1</v>
      </c>
      <c r="F8" s="17" t="n">
        <f aca="false">IF(NOT(ISNUMBER(MATCH(creatives!I9,data!G$2:G$6,0))),1,0)</f>
        <v>1</v>
      </c>
      <c r="G8" s="17" t="n">
        <f aca="false">IF(ISBLANK(creatives!J9), 1, 0)</f>
        <v>1</v>
      </c>
      <c r="H8" s="17" t="str">
        <f aca="false">IF(NOT(ISBLANK(creatives!F9)),VLOOKUP(creatives!F9,data!I$2:J$29,2,0),"")</f>
        <v/>
      </c>
      <c r="I8" s="17" t="n">
        <f aca="false">IF(AND(NOT(ISBLANK(creatives!F9)),NOT(ISNUMBER(MATCH(H8,data!J$2:J$29,0)))),1,0)</f>
        <v>0</v>
      </c>
      <c r="J8" s="17" t="str">
        <f aca="false">IF(NOT(ISBLANK(creatives!E9)),VLOOKUP(creatives!E9,data!M$2:N$38,2,0),"")</f>
        <v/>
      </c>
      <c r="K8" s="17" t="n">
        <f aca="false">IF(NOT(ISNUMBER(MATCH(J8,data!N$2:N$38,0))),1,0)</f>
        <v>1</v>
      </c>
      <c r="L8" s="18" t="str">
        <f aca="false">IF(NOT(ISBLANK(creatives!C9)),VLOOKUP(creatives!C9,data!$A$2:$B$705,2,0),"")</f>
        <v/>
      </c>
      <c r="M8" s="17" t="n">
        <f aca="false">IF(NOT(ISNUMBER(MATCH(L8,data!B$2:B$705,0))),1,0)</f>
        <v>1</v>
      </c>
      <c r="N8" s="19" t="b">
        <f aca="false">IF(NOT(A8),TRUE(),AND(A8,SUM(B8,C8,D8,E8,F8,G8,K8,M8,I8)=0))</f>
        <v>1</v>
      </c>
      <c r="O8" s="20" t="n">
        <v>7</v>
      </c>
      <c r="P8" s="19" t="b">
        <f aca="false">IF(A8,COUNTIF(A$2:A8, CONCATENATE("=", TRUE()))=O8, TRUE())</f>
        <v>1</v>
      </c>
      <c r="Q8" s="1" t="n">
        <f aca="false">IF(A8,O8,0)</f>
        <v>0</v>
      </c>
    </row>
    <row r="9" customFormat="false" ht="15.65" hidden="false" customHeight="false" outlineLevel="0" collapsed="false">
      <c r="A9" s="17" t="b">
        <f aca="false">COUNTIF(creatives!B10:J10, "*")&gt;0</f>
        <v>0</v>
      </c>
      <c r="B9" s="17" t="n">
        <f aca="false">IF(OR(NOT(ISTEXT(creatives!B10)), ISBLANK(creatives!B10), LEN(TRIM(creatives!B10))&gt;200), 1, 0)</f>
        <v>1</v>
      </c>
      <c r="C9" s="17" t="n">
        <f aca="false">IF(NOT(ISNUMBER(MATCH(creatives!D10,data!C$2:C$6,0))),1,0)</f>
        <v>1</v>
      </c>
      <c r="D9" s="17" t="n">
        <f aca="false">IF(OR(LEFT(creatives!G10,7)="http://",LEFT(creatives!G10,8)="https://"), 0, 1)</f>
        <v>1</v>
      </c>
      <c r="E9" s="17" t="n">
        <f aca="false">IF(OR(LEFT(creatives!H10,7)="http://",LEFT(creatives!H10,8)="https://"), 0, 1)</f>
        <v>1</v>
      </c>
      <c r="F9" s="17" t="n">
        <f aca="false">IF(NOT(ISNUMBER(MATCH(creatives!I10,data!G$2:G$6,0))),1,0)</f>
        <v>1</v>
      </c>
      <c r="G9" s="17" t="n">
        <f aca="false">IF(ISBLANK(creatives!J10), 1, 0)</f>
        <v>1</v>
      </c>
      <c r="H9" s="17" t="str">
        <f aca="false">IF(NOT(ISBLANK(creatives!F10)),VLOOKUP(creatives!F10,data!I$2:J$29,2,0),"")</f>
        <v/>
      </c>
      <c r="I9" s="17" t="n">
        <f aca="false">IF(AND(NOT(ISBLANK(creatives!F10)),NOT(ISNUMBER(MATCH(H9,data!J$2:J$29,0)))),1,0)</f>
        <v>0</v>
      </c>
      <c r="J9" s="17" t="str">
        <f aca="false">IF(NOT(ISBLANK(creatives!E10)),VLOOKUP(creatives!E10,data!M$2:N$38,2,0),"")</f>
        <v/>
      </c>
      <c r="K9" s="17" t="n">
        <f aca="false">IF(NOT(ISNUMBER(MATCH(J9,data!N$2:N$38,0))),1,0)</f>
        <v>1</v>
      </c>
      <c r="L9" s="18" t="str">
        <f aca="false">IF(NOT(ISBLANK(creatives!C10)),VLOOKUP(creatives!C10,data!$A$2:$B$705,2,0),"")</f>
        <v/>
      </c>
      <c r="M9" s="17" t="n">
        <f aca="false">IF(NOT(ISNUMBER(MATCH(L9,data!B$2:B$705,0))),1,0)</f>
        <v>1</v>
      </c>
      <c r="N9" s="19" t="b">
        <f aca="false">IF(NOT(A9),TRUE(),AND(A9,SUM(B9,C9,D9,E9,F9,G9,K9,M9,I9)=0))</f>
        <v>1</v>
      </c>
      <c r="O9" s="20" t="n">
        <v>8</v>
      </c>
      <c r="P9" s="19" t="b">
        <f aca="false">IF(A9,COUNTIF(A$2:A9, CONCATENATE("=", TRUE()))=O9, TRUE())</f>
        <v>1</v>
      </c>
      <c r="Q9" s="1" t="n">
        <f aca="false">IF(A9,O9,0)</f>
        <v>0</v>
      </c>
    </row>
    <row r="10" customFormat="false" ht="15.65" hidden="false" customHeight="false" outlineLevel="0" collapsed="false">
      <c r="A10" s="17" t="b">
        <f aca="false">COUNTIF(creatives!B11:J11, "*")&gt;0</f>
        <v>0</v>
      </c>
      <c r="B10" s="17" t="n">
        <f aca="false">IF(OR(NOT(ISTEXT(creatives!B11)), ISBLANK(creatives!B11), LEN(TRIM(creatives!B11))&gt;200), 1, 0)</f>
        <v>1</v>
      </c>
      <c r="C10" s="17" t="n">
        <f aca="false">IF(NOT(ISNUMBER(MATCH(creatives!D11,data!C$2:C$6,0))),1,0)</f>
        <v>1</v>
      </c>
      <c r="D10" s="17" t="n">
        <f aca="false">IF(OR(LEFT(creatives!G11,7)="http://",LEFT(creatives!G11,8)="https://"), 0, 1)</f>
        <v>1</v>
      </c>
      <c r="E10" s="17" t="n">
        <f aca="false">IF(OR(LEFT(creatives!H11,7)="http://",LEFT(creatives!H11,8)="https://"), 0, 1)</f>
        <v>1</v>
      </c>
      <c r="F10" s="17" t="n">
        <f aca="false">IF(NOT(ISNUMBER(MATCH(creatives!I11,data!G$2:G$6,0))),1,0)</f>
        <v>1</v>
      </c>
      <c r="G10" s="17" t="n">
        <f aca="false">IF(ISBLANK(creatives!J11), 1, 0)</f>
        <v>1</v>
      </c>
      <c r="H10" s="17" t="str">
        <f aca="false">IF(NOT(ISBLANK(creatives!F11)),VLOOKUP(creatives!F11,data!I$2:J$29,2,0),"")</f>
        <v/>
      </c>
      <c r="I10" s="17" t="n">
        <f aca="false">IF(AND(NOT(ISBLANK(creatives!F11)),NOT(ISNUMBER(MATCH(H10,data!J$2:J$29,0)))),1,0)</f>
        <v>0</v>
      </c>
      <c r="J10" s="17" t="str">
        <f aca="false">IF(NOT(ISBLANK(creatives!E11)),VLOOKUP(creatives!E11,data!M$2:N$38,2,0),"")</f>
        <v/>
      </c>
      <c r="K10" s="17" t="n">
        <f aca="false">IF(NOT(ISNUMBER(MATCH(J10,data!N$2:N$38,0))),1,0)</f>
        <v>1</v>
      </c>
      <c r="L10" s="18" t="str">
        <f aca="false">IF(NOT(ISBLANK(creatives!C11)),VLOOKUP(creatives!C11,data!$A$2:$B$705,2,0),"")</f>
        <v/>
      </c>
      <c r="M10" s="17" t="n">
        <f aca="false">IF(NOT(ISNUMBER(MATCH(L10,data!B$2:B$705,0))),1,0)</f>
        <v>1</v>
      </c>
      <c r="N10" s="19" t="b">
        <f aca="false">IF(NOT(A10),TRUE(),AND(A10,SUM(B10,C10,D10,E10,F10,G10,K10,M10,I10)=0))</f>
        <v>1</v>
      </c>
      <c r="O10" s="20" t="n">
        <v>9</v>
      </c>
      <c r="P10" s="19" t="b">
        <f aca="false">IF(A10,COUNTIF(A$2:A10, CONCATENATE("=", TRUE()))=O10, TRUE())</f>
        <v>1</v>
      </c>
      <c r="Q10" s="1" t="n">
        <f aca="false">IF(A10,O10,0)</f>
        <v>0</v>
      </c>
    </row>
    <row r="11" customFormat="false" ht="15.65" hidden="false" customHeight="false" outlineLevel="0" collapsed="false">
      <c r="A11" s="17" t="b">
        <f aca="false">COUNTIF(creatives!B12:J12, "*")&gt;0</f>
        <v>0</v>
      </c>
      <c r="B11" s="17" t="n">
        <f aca="false">IF(OR(NOT(ISTEXT(creatives!B12)), ISBLANK(creatives!B12), LEN(TRIM(creatives!B12))&gt;200), 1, 0)</f>
        <v>1</v>
      </c>
      <c r="C11" s="17" t="n">
        <f aca="false">IF(NOT(ISNUMBER(MATCH(creatives!D12,data!C$2:C$6,0))),1,0)</f>
        <v>1</v>
      </c>
      <c r="D11" s="17" t="n">
        <f aca="false">IF(OR(LEFT(creatives!G12,7)="http://",LEFT(creatives!G12,8)="https://"), 0, 1)</f>
        <v>1</v>
      </c>
      <c r="E11" s="17" t="n">
        <f aca="false">IF(OR(LEFT(creatives!H12,7)="http://",LEFT(creatives!H12,8)="https://"), 0, 1)</f>
        <v>1</v>
      </c>
      <c r="F11" s="17" t="n">
        <f aca="false">IF(NOT(ISNUMBER(MATCH(creatives!I12,data!G$2:G$6,0))),1,0)</f>
        <v>1</v>
      </c>
      <c r="G11" s="17" t="n">
        <f aca="false">IF(ISBLANK(creatives!J12), 1, 0)</f>
        <v>1</v>
      </c>
      <c r="H11" s="17" t="str">
        <f aca="false">IF(NOT(ISBLANK(creatives!F12)),VLOOKUP(creatives!F12,data!I$2:J$29,2,0),"")</f>
        <v/>
      </c>
      <c r="I11" s="17" t="n">
        <f aca="false">IF(AND(NOT(ISBLANK(creatives!F12)),NOT(ISNUMBER(MATCH(H11,data!J$2:J$29,0)))),1,0)</f>
        <v>0</v>
      </c>
      <c r="J11" s="17" t="str">
        <f aca="false">IF(NOT(ISBLANK(creatives!E12)),VLOOKUP(creatives!E12,data!M$2:N$38,2,0),"")</f>
        <v/>
      </c>
      <c r="K11" s="17" t="n">
        <f aca="false">IF(NOT(ISNUMBER(MATCH(J11,data!N$2:N$38,0))),1,0)</f>
        <v>1</v>
      </c>
      <c r="L11" s="18" t="str">
        <f aca="false">IF(NOT(ISBLANK(creatives!C12)),VLOOKUP(creatives!C12,data!$A$2:$B$705,2,0),"")</f>
        <v/>
      </c>
      <c r="M11" s="17" t="n">
        <f aca="false">IF(NOT(ISNUMBER(MATCH(L11,data!B$2:B$705,0))),1,0)</f>
        <v>1</v>
      </c>
      <c r="N11" s="19" t="b">
        <f aca="false">IF(NOT(A11),TRUE(),AND(A11,SUM(B11,C11,D11,E11,F11,G11,K11,M11,I11)=0))</f>
        <v>1</v>
      </c>
      <c r="O11" s="20" t="n">
        <v>10</v>
      </c>
      <c r="P11" s="19" t="b">
        <f aca="false">IF(A11,COUNTIF(A$2:A11, CONCATENATE("=", TRUE()))=O11, TRUE())</f>
        <v>1</v>
      </c>
      <c r="Q11" s="1" t="n">
        <f aca="false">IF(A11,O11,0)</f>
        <v>0</v>
      </c>
    </row>
    <row r="12" customFormat="false" ht="15.65" hidden="false" customHeight="false" outlineLevel="0" collapsed="false">
      <c r="A12" s="17" t="b">
        <f aca="false">COUNTIF(creatives!B13:J13, "*")&gt;0</f>
        <v>0</v>
      </c>
      <c r="B12" s="17" t="n">
        <f aca="false">IF(OR(NOT(ISTEXT(creatives!B13)), ISBLANK(creatives!B13), LEN(TRIM(creatives!B13))&gt;200), 1, 0)</f>
        <v>1</v>
      </c>
      <c r="C12" s="17" t="n">
        <f aca="false">IF(NOT(ISNUMBER(MATCH(creatives!D13,data!C$2:C$6,0))),1,0)</f>
        <v>1</v>
      </c>
      <c r="D12" s="17" t="n">
        <f aca="false">IF(OR(LEFT(creatives!G13,7)="http://",LEFT(creatives!G13,8)="https://"), 0, 1)</f>
        <v>1</v>
      </c>
      <c r="E12" s="17" t="n">
        <f aca="false">IF(OR(LEFT(creatives!H13,7)="http://",LEFT(creatives!H13,8)="https://"), 0, 1)</f>
        <v>1</v>
      </c>
      <c r="F12" s="17" t="n">
        <f aca="false">IF(NOT(ISNUMBER(MATCH(creatives!I13,data!G$2:G$6,0))),1,0)</f>
        <v>1</v>
      </c>
      <c r="G12" s="17" t="n">
        <f aca="false">IF(ISBLANK(creatives!J13), 1, 0)</f>
        <v>1</v>
      </c>
      <c r="H12" s="17" t="str">
        <f aca="false">IF(NOT(ISBLANK(creatives!F13)),VLOOKUP(creatives!F13,data!I$2:J$29,2,0),"")</f>
        <v/>
      </c>
      <c r="I12" s="17" t="n">
        <f aca="false">IF(AND(NOT(ISBLANK(creatives!F13)),NOT(ISNUMBER(MATCH(H12,data!J$2:J$29,0)))),1,0)</f>
        <v>0</v>
      </c>
      <c r="J12" s="17" t="str">
        <f aca="false">IF(NOT(ISBLANK(creatives!E13)),VLOOKUP(creatives!E13,data!M$2:N$38,2,0),"")</f>
        <v/>
      </c>
      <c r="K12" s="17" t="n">
        <f aca="false">IF(NOT(ISNUMBER(MATCH(J12,data!N$2:N$38,0))),1,0)</f>
        <v>1</v>
      </c>
      <c r="L12" s="18" t="str">
        <f aca="false">IF(NOT(ISBLANK(creatives!C13)),VLOOKUP(creatives!C13,data!$A$2:$B$705,2,0),"")</f>
        <v/>
      </c>
      <c r="M12" s="17" t="n">
        <f aca="false">IF(NOT(ISNUMBER(MATCH(L12,data!B$2:B$705,0))),1,0)</f>
        <v>1</v>
      </c>
      <c r="N12" s="19" t="b">
        <f aca="false">IF(NOT(A12),TRUE(),AND(A12,SUM(B12,C12,D12,E12,F12,G12,K12,M12,I12)=0))</f>
        <v>1</v>
      </c>
      <c r="O12" s="20" t="n">
        <v>11</v>
      </c>
      <c r="P12" s="19" t="b">
        <f aca="false">IF(A12,COUNTIF(A$2:A12, CONCATENATE("=", TRUE()))=O12, TRUE())</f>
        <v>1</v>
      </c>
      <c r="Q12" s="1" t="n">
        <f aca="false">IF(A12,O12,0)</f>
        <v>0</v>
      </c>
    </row>
    <row r="13" customFormat="false" ht="15.65" hidden="false" customHeight="false" outlineLevel="0" collapsed="false">
      <c r="A13" s="17" t="b">
        <f aca="false">COUNTIF(creatives!B14:J14, "*")&gt;0</f>
        <v>0</v>
      </c>
      <c r="B13" s="17" t="n">
        <f aca="false">IF(OR(NOT(ISTEXT(creatives!B14)), ISBLANK(creatives!B14), LEN(TRIM(creatives!B14))&gt;200), 1, 0)</f>
        <v>1</v>
      </c>
      <c r="C13" s="17" t="n">
        <f aca="false">IF(NOT(ISNUMBER(MATCH(creatives!D14,data!C$2:C$6,0))),1,0)</f>
        <v>1</v>
      </c>
      <c r="D13" s="17" t="n">
        <f aca="false">IF(OR(LEFT(creatives!G14,7)="http://",LEFT(creatives!G14,8)="https://"), 0, 1)</f>
        <v>1</v>
      </c>
      <c r="E13" s="17" t="n">
        <f aca="false">IF(OR(LEFT(creatives!H14,7)="http://",LEFT(creatives!H14,8)="https://"), 0, 1)</f>
        <v>1</v>
      </c>
      <c r="F13" s="17" t="n">
        <f aca="false">IF(NOT(ISNUMBER(MATCH(creatives!I14,data!G$2:G$6,0))),1,0)</f>
        <v>1</v>
      </c>
      <c r="G13" s="17" t="n">
        <f aca="false">IF(ISBLANK(creatives!J14), 1, 0)</f>
        <v>1</v>
      </c>
      <c r="H13" s="17" t="str">
        <f aca="false">IF(NOT(ISBLANK(creatives!F14)),VLOOKUP(creatives!F14,data!I$2:J$29,2,0),"")</f>
        <v/>
      </c>
      <c r="I13" s="17" t="n">
        <f aca="false">IF(AND(NOT(ISBLANK(creatives!F14)),NOT(ISNUMBER(MATCH(H13,data!J$2:J$29,0)))),1,0)</f>
        <v>0</v>
      </c>
      <c r="J13" s="17" t="str">
        <f aca="false">IF(NOT(ISBLANK(creatives!E14)),VLOOKUP(creatives!E14,data!M$2:N$38,2,0),"")</f>
        <v/>
      </c>
      <c r="K13" s="17" t="n">
        <f aca="false">IF(NOT(ISNUMBER(MATCH(J13,data!N$2:N$38,0))),1,0)</f>
        <v>1</v>
      </c>
      <c r="L13" s="18" t="str">
        <f aca="false">IF(NOT(ISBLANK(creatives!C14)),VLOOKUP(creatives!C14,data!$A$2:$B$705,2,0),"")</f>
        <v/>
      </c>
      <c r="M13" s="17" t="n">
        <f aca="false">IF(NOT(ISNUMBER(MATCH(L13,data!B$2:B$705,0))),1,0)</f>
        <v>1</v>
      </c>
      <c r="N13" s="19" t="b">
        <f aca="false">IF(NOT(A13),TRUE(),AND(A13,SUM(B13,C13,D13,E13,F13,G13,K13,M13,I13)=0))</f>
        <v>1</v>
      </c>
      <c r="O13" s="20" t="n">
        <v>12</v>
      </c>
      <c r="P13" s="19" t="b">
        <f aca="false">IF(A13,COUNTIF(A$2:A13, CONCATENATE("=", TRUE()))=O13, TRUE())</f>
        <v>1</v>
      </c>
      <c r="Q13" s="1" t="n">
        <f aca="false">IF(A13,O13,0)</f>
        <v>0</v>
      </c>
    </row>
    <row r="14" customFormat="false" ht="15.65" hidden="false" customHeight="false" outlineLevel="0" collapsed="false">
      <c r="A14" s="17" t="b">
        <f aca="false">COUNTIF(creatives!B15:J15, "*")&gt;0</f>
        <v>0</v>
      </c>
      <c r="B14" s="17" t="n">
        <f aca="false">IF(OR(NOT(ISTEXT(creatives!B15)), ISBLANK(creatives!B15), LEN(TRIM(creatives!B15))&gt;200), 1, 0)</f>
        <v>1</v>
      </c>
      <c r="C14" s="17" t="n">
        <f aca="false">IF(NOT(ISNUMBER(MATCH(creatives!D15,data!C$2:C$6,0))),1,0)</f>
        <v>1</v>
      </c>
      <c r="D14" s="17" t="n">
        <f aca="false">IF(OR(LEFT(creatives!G15,7)="http://",LEFT(creatives!G15,8)="https://"), 0, 1)</f>
        <v>1</v>
      </c>
      <c r="E14" s="17" t="n">
        <f aca="false">IF(OR(LEFT(creatives!H15,7)="http://",LEFT(creatives!H15,8)="https://"), 0, 1)</f>
        <v>1</v>
      </c>
      <c r="F14" s="17" t="n">
        <f aca="false">IF(NOT(ISNUMBER(MATCH(creatives!I15,data!G$2:G$6,0))),1,0)</f>
        <v>1</v>
      </c>
      <c r="G14" s="17" t="n">
        <f aca="false">IF(ISBLANK(creatives!J15), 1, 0)</f>
        <v>1</v>
      </c>
      <c r="H14" s="17" t="str">
        <f aca="false">IF(NOT(ISBLANK(creatives!F15)),VLOOKUP(creatives!F15,data!I$2:J$29,2,0),"")</f>
        <v/>
      </c>
      <c r="I14" s="17" t="n">
        <f aca="false">IF(AND(NOT(ISBLANK(creatives!F15)),NOT(ISNUMBER(MATCH(H14,data!J$2:J$29,0)))),1,0)</f>
        <v>0</v>
      </c>
      <c r="J14" s="17" t="str">
        <f aca="false">IF(NOT(ISBLANK(creatives!E15)),VLOOKUP(creatives!E15,data!M$2:N$38,2,0),"")</f>
        <v/>
      </c>
      <c r="K14" s="17" t="n">
        <f aca="false">IF(NOT(ISNUMBER(MATCH(J14,data!N$2:N$38,0))),1,0)</f>
        <v>1</v>
      </c>
      <c r="L14" s="18" t="str">
        <f aca="false">IF(NOT(ISBLANK(creatives!C15)),VLOOKUP(creatives!C15,data!$A$2:$B$705,2,0),"")</f>
        <v/>
      </c>
      <c r="M14" s="17" t="n">
        <f aca="false">IF(NOT(ISNUMBER(MATCH(L14,data!B$2:B$705,0))),1,0)</f>
        <v>1</v>
      </c>
      <c r="N14" s="19" t="b">
        <f aca="false">IF(NOT(A14),TRUE(),AND(A14,SUM(B14,C14,D14,E14,F14,G14,K14,M14,I14)=0))</f>
        <v>1</v>
      </c>
      <c r="O14" s="20" t="n">
        <v>13</v>
      </c>
      <c r="P14" s="19" t="b">
        <f aca="false">IF(A14,COUNTIF(A$2:A14, CONCATENATE("=", TRUE()))=O14, TRUE())</f>
        <v>1</v>
      </c>
      <c r="Q14" s="1" t="n">
        <f aca="false">IF(A14,O14,0)</f>
        <v>0</v>
      </c>
    </row>
    <row r="15" customFormat="false" ht="15.65" hidden="false" customHeight="false" outlineLevel="0" collapsed="false">
      <c r="A15" s="17" t="b">
        <f aca="false">COUNTIF(creatives!B16:J16, "*")&gt;0</f>
        <v>0</v>
      </c>
      <c r="B15" s="17" t="n">
        <f aca="false">IF(OR(NOT(ISTEXT(creatives!B16)), ISBLANK(creatives!B16), LEN(TRIM(creatives!B16))&gt;200), 1, 0)</f>
        <v>1</v>
      </c>
      <c r="C15" s="17" t="n">
        <f aca="false">IF(NOT(ISNUMBER(MATCH(creatives!D16,data!C$2:C$6,0))),1,0)</f>
        <v>1</v>
      </c>
      <c r="D15" s="17" t="n">
        <f aca="false">IF(OR(LEFT(creatives!G16,7)="http://",LEFT(creatives!G16,8)="https://"), 0, 1)</f>
        <v>1</v>
      </c>
      <c r="E15" s="17" t="n">
        <f aca="false">IF(OR(LEFT(creatives!H16,7)="http://",LEFT(creatives!H16,8)="https://"), 0, 1)</f>
        <v>1</v>
      </c>
      <c r="F15" s="17" t="n">
        <f aca="false">IF(NOT(ISNUMBER(MATCH(creatives!I16,data!G$2:G$6,0))),1,0)</f>
        <v>1</v>
      </c>
      <c r="G15" s="17" t="n">
        <f aca="false">IF(ISBLANK(creatives!J16), 1, 0)</f>
        <v>1</v>
      </c>
      <c r="H15" s="17" t="str">
        <f aca="false">IF(NOT(ISBLANK(creatives!F16)),VLOOKUP(creatives!F16,data!I$2:J$29,2,0),"")</f>
        <v/>
      </c>
      <c r="I15" s="17" t="n">
        <f aca="false">IF(AND(NOT(ISBLANK(creatives!F16)),NOT(ISNUMBER(MATCH(H15,data!J$2:J$29,0)))),1,0)</f>
        <v>0</v>
      </c>
      <c r="J15" s="17" t="str">
        <f aca="false">IF(NOT(ISBLANK(creatives!E16)),VLOOKUP(creatives!E16,data!M$2:N$38,2,0),"")</f>
        <v/>
      </c>
      <c r="K15" s="17" t="n">
        <f aca="false">IF(NOT(ISNUMBER(MATCH(J15,data!N$2:N$38,0))),1,0)</f>
        <v>1</v>
      </c>
      <c r="L15" s="18" t="str">
        <f aca="false">IF(NOT(ISBLANK(creatives!C16)),VLOOKUP(creatives!C16,data!$A$2:$B$705,2,0),"")</f>
        <v/>
      </c>
      <c r="M15" s="17" t="n">
        <f aca="false">IF(NOT(ISNUMBER(MATCH(L15,data!B$2:B$705,0))),1,0)</f>
        <v>1</v>
      </c>
      <c r="N15" s="19" t="b">
        <f aca="false">IF(NOT(A15),TRUE(),AND(A15,SUM(B15,C15,D15,E15,F15,G15,K15,M15,I15)=0))</f>
        <v>1</v>
      </c>
      <c r="O15" s="20" t="n">
        <v>14</v>
      </c>
      <c r="P15" s="19" t="b">
        <f aca="false">IF(A15,COUNTIF(A$2:A15, CONCATENATE("=", TRUE()))=O15, TRUE())</f>
        <v>1</v>
      </c>
      <c r="Q15" s="1" t="n">
        <f aca="false">IF(A15,O15,0)</f>
        <v>0</v>
      </c>
    </row>
    <row r="16" customFormat="false" ht="15.65" hidden="false" customHeight="false" outlineLevel="0" collapsed="false">
      <c r="A16" s="17" t="b">
        <f aca="false">COUNTIF(creatives!B17:J17, "*")&gt;0</f>
        <v>0</v>
      </c>
      <c r="B16" s="17" t="n">
        <f aca="false">IF(OR(NOT(ISTEXT(creatives!B17)), ISBLANK(creatives!B17), LEN(TRIM(creatives!B17))&gt;200), 1, 0)</f>
        <v>1</v>
      </c>
      <c r="C16" s="17" t="n">
        <f aca="false">IF(NOT(ISNUMBER(MATCH(creatives!D17,data!C$2:C$6,0))),1,0)</f>
        <v>1</v>
      </c>
      <c r="D16" s="17" t="n">
        <f aca="false">IF(OR(LEFT(creatives!G17,7)="http://",LEFT(creatives!G17,8)="https://"), 0, 1)</f>
        <v>1</v>
      </c>
      <c r="E16" s="17" t="n">
        <f aca="false">IF(OR(LEFT(creatives!H17,7)="http://",LEFT(creatives!H17,8)="https://"), 0, 1)</f>
        <v>1</v>
      </c>
      <c r="F16" s="17" t="n">
        <f aca="false">IF(NOT(ISNUMBER(MATCH(creatives!I17,data!G$2:G$6,0))),1,0)</f>
        <v>1</v>
      </c>
      <c r="G16" s="17" t="n">
        <f aca="false">IF(ISBLANK(creatives!J17), 1, 0)</f>
        <v>1</v>
      </c>
      <c r="H16" s="17" t="str">
        <f aca="false">IF(NOT(ISBLANK(creatives!F17)),VLOOKUP(creatives!F17,data!I$2:J$29,2,0),"")</f>
        <v/>
      </c>
      <c r="I16" s="17" t="n">
        <f aca="false">IF(AND(NOT(ISBLANK(creatives!F17)),NOT(ISNUMBER(MATCH(H16,data!J$2:J$29,0)))),1,0)</f>
        <v>0</v>
      </c>
      <c r="J16" s="17" t="str">
        <f aca="false">IF(NOT(ISBLANK(creatives!E17)),VLOOKUP(creatives!E17,data!M$2:N$38,2,0),"")</f>
        <v/>
      </c>
      <c r="K16" s="17" t="n">
        <f aca="false">IF(NOT(ISNUMBER(MATCH(J16,data!N$2:N$38,0))),1,0)</f>
        <v>1</v>
      </c>
      <c r="L16" s="18" t="str">
        <f aca="false">IF(NOT(ISBLANK(creatives!C17)),VLOOKUP(creatives!C17,data!$A$2:$B$705,2,0),"")</f>
        <v/>
      </c>
      <c r="M16" s="17" t="n">
        <f aca="false">IF(NOT(ISNUMBER(MATCH(L16,data!B$2:B$705,0))),1,0)</f>
        <v>1</v>
      </c>
      <c r="N16" s="19" t="b">
        <f aca="false">IF(NOT(A16),TRUE(),AND(A16,SUM(B16,C16,D16,E16,F16,G16,K16,M16,I16)=0))</f>
        <v>1</v>
      </c>
      <c r="O16" s="20" t="n">
        <v>15</v>
      </c>
      <c r="P16" s="19" t="b">
        <f aca="false">IF(A16,COUNTIF(A$2:A16, CONCATENATE("=", TRUE()))=O16, TRUE())</f>
        <v>1</v>
      </c>
      <c r="Q16" s="1" t="n">
        <f aca="false">IF(A16,O16,0)</f>
        <v>0</v>
      </c>
    </row>
    <row r="17" customFormat="false" ht="15.65" hidden="false" customHeight="false" outlineLevel="0" collapsed="false">
      <c r="A17" s="17" t="b">
        <f aca="false">COUNTIF(creatives!B18:J18, "*")&gt;0</f>
        <v>0</v>
      </c>
      <c r="B17" s="17" t="n">
        <f aca="false">IF(OR(NOT(ISTEXT(creatives!B18)), ISBLANK(creatives!B18), LEN(TRIM(creatives!B18))&gt;200), 1, 0)</f>
        <v>1</v>
      </c>
      <c r="C17" s="17" t="n">
        <f aca="false">IF(NOT(ISNUMBER(MATCH(creatives!D18,data!C$2:C$6,0))),1,0)</f>
        <v>1</v>
      </c>
      <c r="D17" s="17" t="n">
        <f aca="false">IF(OR(LEFT(creatives!G18,7)="http://",LEFT(creatives!G18,8)="https://"), 0, 1)</f>
        <v>1</v>
      </c>
      <c r="E17" s="17" t="n">
        <f aca="false">IF(OR(LEFT(creatives!H18,7)="http://",LEFT(creatives!H18,8)="https://"), 0, 1)</f>
        <v>1</v>
      </c>
      <c r="F17" s="17" t="n">
        <f aca="false">IF(NOT(ISNUMBER(MATCH(creatives!I18,data!G$2:G$6,0))),1,0)</f>
        <v>1</v>
      </c>
      <c r="G17" s="17" t="n">
        <f aca="false">IF(ISBLANK(creatives!J18), 1, 0)</f>
        <v>1</v>
      </c>
      <c r="H17" s="17" t="str">
        <f aca="false">IF(NOT(ISBLANK(creatives!F18)),VLOOKUP(creatives!F18,data!I$2:J$29,2,0),"")</f>
        <v/>
      </c>
      <c r="I17" s="17" t="n">
        <f aca="false">IF(AND(NOT(ISBLANK(creatives!F18)),NOT(ISNUMBER(MATCH(H17,data!J$2:J$29,0)))),1,0)</f>
        <v>0</v>
      </c>
      <c r="J17" s="17" t="str">
        <f aca="false">IF(NOT(ISBLANK(creatives!E18)),VLOOKUP(creatives!E18,data!M$2:N$38,2,0),"")</f>
        <v/>
      </c>
      <c r="K17" s="17" t="n">
        <f aca="false">IF(NOT(ISNUMBER(MATCH(J17,data!N$2:N$38,0))),1,0)</f>
        <v>1</v>
      </c>
      <c r="L17" s="18" t="str">
        <f aca="false">IF(NOT(ISBLANK(creatives!C18)),VLOOKUP(creatives!C18,data!$A$2:$B$705,2,0),"")</f>
        <v/>
      </c>
      <c r="M17" s="17" t="n">
        <f aca="false">IF(NOT(ISNUMBER(MATCH(L17,data!B$2:B$705,0))),1,0)</f>
        <v>1</v>
      </c>
      <c r="N17" s="19" t="b">
        <f aca="false">IF(NOT(A17),TRUE(),AND(A17,SUM(B17,C17,D17,E17,F17,G17,K17,M17,I17)=0))</f>
        <v>1</v>
      </c>
      <c r="O17" s="20" t="n">
        <v>16</v>
      </c>
      <c r="P17" s="19" t="b">
        <f aca="false">IF(A17,COUNTIF(A$2:A17, CONCATENATE("=", TRUE()))=O17, TRUE())</f>
        <v>1</v>
      </c>
      <c r="Q17" s="1" t="n">
        <f aca="false">IF(A17,O17,0)</f>
        <v>0</v>
      </c>
    </row>
    <row r="18" customFormat="false" ht="15.65" hidden="false" customHeight="false" outlineLevel="0" collapsed="false">
      <c r="A18" s="17" t="b">
        <f aca="false">COUNTIF(creatives!B19:J19, "*")&gt;0</f>
        <v>0</v>
      </c>
      <c r="B18" s="17" t="n">
        <f aca="false">IF(OR(NOT(ISTEXT(creatives!B19)), ISBLANK(creatives!B19), LEN(TRIM(creatives!B19))&gt;200), 1, 0)</f>
        <v>1</v>
      </c>
      <c r="C18" s="17" t="n">
        <f aca="false">IF(NOT(ISNUMBER(MATCH(creatives!D19,data!C$2:C$6,0))),1,0)</f>
        <v>1</v>
      </c>
      <c r="D18" s="17" t="n">
        <f aca="false">IF(OR(LEFT(creatives!G19,7)="http://",LEFT(creatives!G19,8)="https://"), 0, 1)</f>
        <v>1</v>
      </c>
      <c r="E18" s="17" t="n">
        <f aca="false">IF(OR(LEFT(creatives!H19,7)="http://",LEFT(creatives!H19,8)="https://"), 0, 1)</f>
        <v>1</v>
      </c>
      <c r="F18" s="17" t="n">
        <f aca="false">IF(NOT(ISNUMBER(MATCH(creatives!I19,data!G$2:G$6,0))),1,0)</f>
        <v>1</v>
      </c>
      <c r="G18" s="17" t="n">
        <f aca="false">IF(ISBLANK(creatives!J19), 1, 0)</f>
        <v>1</v>
      </c>
      <c r="H18" s="17" t="str">
        <f aca="false">IF(NOT(ISBLANK(creatives!F19)),VLOOKUP(creatives!F19,data!I$2:J$29,2,0),"")</f>
        <v/>
      </c>
      <c r="I18" s="17" t="n">
        <f aca="false">IF(AND(NOT(ISBLANK(creatives!F19)),NOT(ISNUMBER(MATCH(H18,data!J$2:J$29,0)))),1,0)</f>
        <v>0</v>
      </c>
      <c r="J18" s="17" t="str">
        <f aca="false">IF(NOT(ISBLANK(creatives!E19)),VLOOKUP(creatives!E19,data!M$2:N$38,2,0),"")</f>
        <v/>
      </c>
      <c r="K18" s="17" t="n">
        <f aca="false">IF(NOT(ISNUMBER(MATCH(J18,data!N$2:N$38,0))),1,0)</f>
        <v>1</v>
      </c>
      <c r="L18" s="18" t="str">
        <f aca="false">IF(NOT(ISBLANK(creatives!C19)),VLOOKUP(creatives!C19,data!$A$2:$B$705,2,0),"")</f>
        <v/>
      </c>
      <c r="M18" s="17" t="n">
        <f aca="false">IF(NOT(ISNUMBER(MATCH(L18,data!B$2:B$705,0))),1,0)</f>
        <v>1</v>
      </c>
      <c r="N18" s="19" t="b">
        <f aca="false">IF(NOT(A18),TRUE(),AND(A18,SUM(B18,C18,D18,E18,F18,G18,K18,M18,I18)=0))</f>
        <v>1</v>
      </c>
      <c r="O18" s="20" t="n">
        <v>17</v>
      </c>
      <c r="P18" s="19" t="b">
        <f aca="false">IF(A18,COUNTIF(A$2:A18, CONCATENATE("=", TRUE()))=O18, TRUE())</f>
        <v>1</v>
      </c>
      <c r="Q18" s="1" t="n">
        <f aca="false">IF(A18,O18,0)</f>
        <v>0</v>
      </c>
    </row>
    <row r="19" customFormat="false" ht="15.65" hidden="false" customHeight="false" outlineLevel="0" collapsed="false">
      <c r="A19" s="17" t="b">
        <f aca="false">COUNTIF(creatives!B20:J20, "*")&gt;0</f>
        <v>0</v>
      </c>
      <c r="B19" s="17" t="n">
        <f aca="false">IF(OR(NOT(ISTEXT(creatives!B20)), ISBLANK(creatives!B20), LEN(TRIM(creatives!B20))&gt;200), 1, 0)</f>
        <v>1</v>
      </c>
      <c r="C19" s="17" t="n">
        <f aca="false">IF(NOT(ISNUMBER(MATCH(creatives!D20,data!C$2:C$6,0))),1,0)</f>
        <v>1</v>
      </c>
      <c r="D19" s="17" t="n">
        <f aca="false">IF(OR(LEFT(creatives!G20,7)="http://",LEFT(creatives!G20,8)="https://"), 0, 1)</f>
        <v>1</v>
      </c>
      <c r="E19" s="17" t="n">
        <f aca="false">IF(OR(LEFT(creatives!H20,7)="http://",LEFT(creatives!H20,8)="https://"), 0, 1)</f>
        <v>1</v>
      </c>
      <c r="F19" s="17" t="n">
        <f aca="false">IF(NOT(ISNUMBER(MATCH(creatives!I20,data!G$2:G$6,0))),1,0)</f>
        <v>1</v>
      </c>
      <c r="G19" s="17" t="n">
        <f aca="false">IF(ISBLANK(creatives!J20), 1, 0)</f>
        <v>1</v>
      </c>
      <c r="H19" s="17" t="str">
        <f aca="false">IF(NOT(ISBLANK(creatives!F20)),VLOOKUP(creatives!F20,data!I$2:J$29,2,0),"")</f>
        <v/>
      </c>
      <c r="I19" s="17" t="n">
        <f aca="false">IF(AND(NOT(ISBLANK(creatives!F20)),NOT(ISNUMBER(MATCH(H19,data!J$2:J$29,0)))),1,0)</f>
        <v>0</v>
      </c>
      <c r="J19" s="17" t="str">
        <f aca="false">IF(NOT(ISBLANK(creatives!E20)),VLOOKUP(creatives!E20,data!M$2:N$38,2,0),"")</f>
        <v/>
      </c>
      <c r="K19" s="17" t="n">
        <f aca="false">IF(NOT(ISNUMBER(MATCH(J19,data!N$2:N$38,0))),1,0)</f>
        <v>1</v>
      </c>
      <c r="L19" s="18" t="str">
        <f aca="false">IF(NOT(ISBLANK(creatives!C20)),VLOOKUP(creatives!C20,data!$A$2:$B$705,2,0),"")</f>
        <v/>
      </c>
      <c r="M19" s="17" t="n">
        <f aca="false">IF(NOT(ISNUMBER(MATCH(L19,data!B$2:B$705,0))),1,0)</f>
        <v>1</v>
      </c>
      <c r="N19" s="19" t="b">
        <f aca="false">IF(NOT(A19),TRUE(),AND(A19,SUM(B19,C19,D19,E19,F19,G19,K19,M19,I19)=0))</f>
        <v>1</v>
      </c>
      <c r="O19" s="20" t="n">
        <v>18</v>
      </c>
      <c r="P19" s="19" t="b">
        <f aca="false">IF(A19,COUNTIF(A$2:A19, CONCATENATE("=", TRUE()))=O19, TRUE())</f>
        <v>1</v>
      </c>
      <c r="Q19" s="1" t="n">
        <f aca="false">IF(A19,O19,0)</f>
        <v>0</v>
      </c>
    </row>
    <row r="20" customFormat="false" ht="15.65" hidden="false" customHeight="false" outlineLevel="0" collapsed="false">
      <c r="A20" s="17" t="b">
        <f aca="false">COUNTIF(creatives!B21:J21, "*")&gt;0</f>
        <v>0</v>
      </c>
      <c r="B20" s="17" t="n">
        <f aca="false">IF(OR(NOT(ISTEXT(creatives!B21)), ISBLANK(creatives!B21), LEN(TRIM(creatives!B21))&gt;200), 1, 0)</f>
        <v>1</v>
      </c>
      <c r="C20" s="17" t="n">
        <f aca="false">IF(NOT(ISNUMBER(MATCH(creatives!D21,data!C$2:C$6,0))),1,0)</f>
        <v>1</v>
      </c>
      <c r="D20" s="17" t="n">
        <f aca="false">IF(OR(LEFT(creatives!G21,7)="http://",LEFT(creatives!G21,8)="https://"), 0, 1)</f>
        <v>1</v>
      </c>
      <c r="E20" s="17" t="n">
        <f aca="false">IF(OR(LEFT(creatives!H21,7)="http://",LEFT(creatives!H21,8)="https://"), 0, 1)</f>
        <v>1</v>
      </c>
      <c r="F20" s="17" t="n">
        <f aca="false">IF(NOT(ISNUMBER(MATCH(creatives!I21,data!G$2:G$6,0))),1,0)</f>
        <v>1</v>
      </c>
      <c r="G20" s="17" t="n">
        <f aca="false">IF(ISBLANK(creatives!J21), 1, 0)</f>
        <v>1</v>
      </c>
      <c r="H20" s="17" t="str">
        <f aca="false">IF(NOT(ISBLANK(creatives!F21)),VLOOKUP(creatives!F21,data!I$2:J$29,2,0),"")</f>
        <v/>
      </c>
      <c r="I20" s="17" t="n">
        <f aca="false">IF(AND(NOT(ISBLANK(creatives!F21)),NOT(ISNUMBER(MATCH(H20,data!J$2:J$29,0)))),1,0)</f>
        <v>0</v>
      </c>
      <c r="J20" s="17" t="str">
        <f aca="false">IF(NOT(ISBLANK(creatives!E21)),VLOOKUP(creatives!E21,data!M$2:N$38,2,0),"")</f>
        <v/>
      </c>
      <c r="K20" s="17" t="n">
        <f aca="false">IF(NOT(ISNUMBER(MATCH(J20,data!N$2:N$38,0))),1,0)</f>
        <v>1</v>
      </c>
      <c r="L20" s="18" t="str">
        <f aca="false">IF(NOT(ISBLANK(creatives!C21)),VLOOKUP(creatives!C21,data!$A$2:$B$705,2,0),"")</f>
        <v/>
      </c>
      <c r="M20" s="17" t="n">
        <f aca="false">IF(NOT(ISNUMBER(MATCH(L20,data!B$2:B$705,0))),1,0)</f>
        <v>1</v>
      </c>
      <c r="N20" s="19" t="b">
        <f aca="false">IF(NOT(A20),TRUE(),AND(A20,SUM(B20,C20,D20,E20,F20,G20,K20,M20,I20)=0))</f>
        <v>1</v>
      </c>
      <c r="O20" s="20" t="n">
        <v>19</v>
      </c>
      <c r="P20" s="19" t="b">
        <f aca="false">IF(A20,COUNTIF(A$2:A20, CONCATENATE("=", TRUE()))=O20, TRUE())</f>
        <v>1</v>
      </c>
      <c r="Q20" s="1" t="n">
        <f aca="false">IF(A20,O20,0)</f>
        <v>0</v>
      </c>
    </row>
    <row r="21" customFormat="false" ht="15.65" hidden="false" customHeight="false" outlineLevel="0" collapsed="false">
      <c r="A21" s="17" t="b">
        <f aca="false">COUNTIF(creatives!B22:J22, "*")&gt;0</f>
        <v>0</v>
      </c>
      <c r="B21" s="17" t="n">
        <f aca="false">IF(OR(NOT(ISTEXT(creatives!B22)), ISBLANK(creatives!B22), LEN(TRIM(creatives!B22))&gt;200), 1, 0)</f>
        <v>1</v>
      </c>
      <c r="C21" s="17" t="n">
        <f aca="false">IF(NOT(ISNUMBER(MATCH(creatives!D22,data!C$2:C$6,0))),1,0)</f>
        <v>1</v>
      </c>
      <c r="D21" s="17" t="n">
        <f aca="false">IF(OR(LEFT(creatives!G22,7)="http://",LEFT(creatives!G22,8)="https://"), 0, 1)</f>
        <v>1</v>
      </c>
      <c r="E21" s="17" t="n">
        <f aca="false">IF(OR(LEFT(creatives!H22,7)="http://",LEFT(creatives!H22,8)="https://"), 0, 1)</f>
        <v>1</v>
      </c>
      <c r="F21" s="17" t="n">
        <f aca="false">IF(NOT(ISNUMBER(MATCH(creatives!I22,data!G$2:G$6,0))),1,0)</f>
        <v>1</v>
      </c>
      <c r="G21" s="17" t="n">
        <f aca="false">IF(ISBLANK(creatives!J22), 1, 0)</f>
        <v>1</v>
      </c>
      <c r="H21" s="17" t="str">
        <f aca="false">IF(NOT(ISBLANK(creatives!F22)),VLOOKUP(creatives!F22,data!I$2:J$29,2,0),"")</f>
        <v/>
      </c>
      <c r="I21" s="17" t="n">
        <f aca="false">IF(AND(NOT(ISBLANK(creatives!F22)),NOT(ISNUMBER(MATCH(H21,data!J$2:J$29,0)))),1,0)</f>
        <v>0</v>
      </c>
      <c r="J21" s="17" t="str">
        <f aca="false">IF(NOT(ISBLANK(creatives!E22)),VLOOKUP(creatives!E22,data!M$2:N$38,2,0),"")</f>
        <v/>
      </c>
      <c r="K21" s="17" t="n">
        <f aca="false">IF(NOT(ISNUMBER(MATCH(J21,data!N$2:N$38,0))),1,0)</f>
        <v>1</v>
      </c>
      <c r="L21" s="18" t="str">
        <f aca="false">IF(NOT(ISBLANK(creatives!C22)),VLOOKUP(creatives!C22,data!$A$2:$B$705,2,0),"")</f>
        <v/>
      </c>
      <c r="M21" s="17" t="n">
        <f aca="false">IF(NOT(ISNUMBER(MATCH(L21,data!B$2:B$705,0))),1,0)</f>
        <v>1</v>
      </c>
      <c r="N21" s="19" t="b">
        <f aca="false">IF(NOT(A21),TRUE(),AND(A21,SUM(B21,C21,D21,E21,F21,G21,K21,M21,I21)=0))</f>
        <v>1</v>
      </c>
      <c r="O21" s="20" t="n">
        <v>20</v>
      </c>
      <c r="P21" s="19" t="b">
        <f aca="false">IF(A21,COUNTIF(A$2:A21, CONCATENATE("=", TRUE()))=O21, TRUE())</f>
        <v>1</v>
      </c>
      <c r="Q21" s="1" t="n">
        <f aca="false">IF(A21,O21,0)</f>
        <v>0</v>
      </c>
    </row>
    <row r="22" customFormat="false" ht="15.65" hidden="false" customHeight="false" outlineLevel="0" collapsed="false">
      <c r="A22" s="17" t="b">
        <f aca="false">COUNTIF(creatives!B23:J23, "*")&gt;0</f>
        <v>0</v>
      </c>
      <c r="B22" s="17" t="n">
        <f aca="false">IF(OR(NOT(ISTEXT(creatives!B23)), ISBLANK(creatives!B23), LEN(TRIM(creatives!B23))&gt;200), 1, 0)</f>
        <v>1</v>
      </c>
      <c r="C22" s="17" t="n">
        <f aca="false">IF(NOT(ISNUMBER(MATCH(creatives!D23,data!C$2:C$6,0))),1,0)</f>
        <v>1</v>
      </c>
      <c r="D22" s="17" t="n">
        <f aca="false">IF(OR(LEFT(creatives!G23,7)="http://",LEFT(creatives!G23,8)="https://"), 0, 1)</f>
        <v>1</v>
      </c>
      <c r="E22" s="17" t="n">
        <f aca="false">IF(OR(LEFT(creatives!H23,7)="http://",LEFT(creatives!H23,8)="https://"), 0, 1)</f>
        <v>1</v>
      </c>
      <c r="F22" s="17" t="n">
        <f aca="false">IF(NOT(ISNUMBER(MATCH(creatives!I23,data!G$2:G$6,0))),1,0)</f>
        <v>1</v>
      </c>
      <c r="G22" s="17" t="n">
        <f aca="false">IF(ISBLANK(creatives!J23), 1, 0)</f>
        <v>1</v>
      </c>
      <c r="H22" s="17" t="str">
        <f aca="false">IF(NOT(ISBLANK(creatives!F23)),VLOOKUP(creatives!F23,data!I$2:J$29,2,0),"")</f>
        <v/>
      </c>
      <c r="I22" s="17" t="n">
        <f aca="false">IF(AND(NOT(ISBLANK(creatives!F23)),NOT(ISNUMBER(MATCH(H22,data!J$2:J$29,0)))),1,0)</f>
        <v>0</v>
      </c>
      <c r="J22" s="17" t="str">
        <f aca="false">IF(NOT(ISBLANK(creatives!E23)),VLOOKUP(creatives!E23,data!M$2:N$38,2,0),"")</f>
        <v/>
      </c>
      <c r="K22" s="17" t="n">
        <f aca="false">IF(NOT(ISNUMBER(MATCH(J22,data!N$2:N$38,0))),1,0)</f>
        <v>1</v>
      </c>
      <c r="L22" s="18" t="str">
        <f aca="false">IF(NOT(ISBLANK(creatives!C23)),VLOOKUP(creatives!C23,data!$A$2:$B$705,2,0),"")</f>
        <v/>
      </c>
      <c r="M22" s="17" t="n">
        <f aca="false">IF(NOT(ISNUMBER(MATCH(L22,data!B$2:B$705,0))),1,0)</f>
        <v>1</v>
      </c>
      <c r="N22" s="19" t="b">
        <f aca="false">IF(NOT(A22),TRUE(),AND(A22,SUM(B22,C22,D22,E22,F22,G22,K22,M22,I22)=0))</f>
        <v>1</v>
      </c>
      <c r="O22" s="20" t="n">
        <v>21</v>
      </c>
      <c r="P22" s="19" t="b">
        <f aca="false">IF(A22,COUNTIF(A$2:A22, CONCATENATE("=", TRUE()))=O22, TRUE())</f>
        <v>1</v>
      </c>
      <c r="Q22" s="1" t="n">
        <f aca="false">IF(A22,O22,0)</f>
        <v>0</v>
      </c>
    </row>
    <row r="23" customFormat="false" ht="15.65" hidden="false" customHeight="false" outlineLevel="0" collapsed="false">
      <c r="A23" s="17" t="b">
        <f aca="false">COUNTIF(creatives!B24:J24, "*")&gt;0</f>
        <v>0</v>
      </c>
      <c r="B23" s="17" t="n">
        <f aca="false">IF(OR(NOT(ISTEXT(creatives!B24)), ISBLANK(creatives!B24), LEN(TRIM(creatives!B24))&gt;200), 1, 0)</f>
        <v>1</v>
      </c>
      <c r="C23" s="17" t="n">
        <f aca="false">IF(NOT(ISNUMBER(MATCH(creatives!D24,data!C$2:C$6,0))),1,0)</f>
        <v>1</v>
      </c>
      <c r="D23" s="17" t="n">
        <f aca="false">IF(OR(LEFT(creatives!G24,7)="http://",LEFT(creatives!G24,8)="https://"), 0, 1)</f>
        <v>1</v>
      </c>
      <c r="E23" s="17" t="n">
        <f aca="false">IF(OR(LEFT(creatives!H24,7)="http://",LEFT(creatives!H24,8)="https://"), 0, 1)</f>
        <v>1</v>
      </c>
      <c r="F23" s="17" t="n">
        <f aca="false">IF(NOT(ISNUMBER(MATCH(creatives!I24,data!G$2:G$6,0))),1,0)</f>
        <v>1</v>
      </c>
      <c r="G23" s="17" t="n">
        <f aca="false">IF(ISBLANK(creatives!J24), 1, 0)</f>
        <v>1</v>
      </c>
      <c r="H23" s="17" t="str">
        <f aca="false">IF(NOT(ISBLANK(creatives!F24)),VLOOKUP(creatives!F24,data!I$2:J$29,2,0),"")</f>
        <v/>
      </c>
      <c r="I23" s="17" t="n">
        <f aca="false">IF(AND(NOT(ISBLANK(creatives!F24)),NOT(ISNUMBER(MATCH(H23,data!J$2:J$29,0)))),1,0)</f>
        <v>0</v>
      </c>
      <c r="J23" s="17" t="str">
        <f aca="false">IF(NOT(ISBLANK(creatives!E24)),VLOOKUP(creatives!E24,data!M$2:N$38,2,0),"")</f>
        <v/>
      </c>
      <c r="K23" s="17" t="n">
        <f aca="false">IF(NOT(ISNUMBER(MATCH(J23,data!N$2:N$38,0))),1,0)</f>
        <v>1</v>
      </c>
      <c r="L23" s="18" t="str">
        <f aca="false">IF(NOT(ISBLANK(creatives!C24)),VLOOKUP(creatives!C24,data!$A$2:$B$705,2,0),"")</f>
        <v/>
      </c>
      <c r="M23" s="17" t="n">
        <f aca="false">IF(NOT(ISNUMBER(MATCH(L23,data!B$2:B$705,0))),1,0)</f>
        <v>1</v>
      </c>
      <c r="N23" s="19" t="b">
        <f aca="false">IF(NOT(A23),TRUE(),AND(A23,SUM(B23,C23,D23,E23,F23,G23,K23,M23,I23)=0))</f>
        <v>1</v>
      </c>
      <c r="O23" s="20" t="n">
        <v>22</v>
      </c>
      <c r="P23" s="19" t="b">
        <f aca="false">IF(A23,COUNTIF(A$2:A23, CONCATENATE("=", TRUE()))=O23, TRUE())</f>
        <v>1</v>
      </c>
      <c r="Q23" s="1" t="n">
        <f aca="false">IF(A23,O23,0)</f>
        <v>0</v>
      </c>
    </row>
    <row r="24" customFormat="false" ht="15.65" hidden="false" customHeight="false" outlineLevel="0" collapsed="false">
      <c r="A24" s="17" t="b">
        <f aca="false">COUNTIF(creatives!B25:J25, "*")&gt;0</f>
        <v>0</v>
      </c>
      <c r="B24" s="17" t="n">
        <f aca="false">IF(OR(NOT(ISTEXT(creatives!B25)), ISBLANK(creatives!B25), LEN(TRIM(creatives!B25))&gt;200), 1, 0)</f>
        <v>1</v>
      </c>
      <c r="C24" s="17" t="n">
        <f aca="false">IF(NOT(ISNUMBER(MATCH(creatives!D25,data!C$2:C$6,0))),1,0)</f>
        <v>1</v>
      </c>
      <c r="D24" s="17" t="n">
        <f aca="false">IF(OR(LEFT(creatives!G25,7)="http://",LEFT(creatives!G25,8)="https://"), 0, 1)</f>
        <v>1</v>
      </c>
      <c r="E24" s="17" t="n">
        <f aca="false">IF(OR(LEFT(creatives!H25,7)="http://",LEFT(creatives!H25,8)="https://"), 0, 1)</f>
        <v>1</v>
      </c>
      <c r="F24" s="17" t="n">
        <f aca="false">IF(NOT(ISNUMBER(MATCH(creatives!I25,data!G$2:G$6,0))),1,0)</f>
        <v>1</v>
      </c>
      <c r="G24" s="17" t="n">
        <f aca="false">IF(ISBLANK(creatives!J25), 1, 0)</f>
        <v>1</v>
      </c>
      <c r="H24" s="17" t="str">
        <f aca="false">IF(NOT(ISBLANK(creatives!F25)),VLOOKUP(creatives!F25,data!I$2:J$29,2,0),"")</f>
        <v/>
      </c>
      <c r="I24" s="17" t="n">
        <f aca="false">IF(AND(NOT(ISBLANK(creatives!F25)),NOT(ISNUMBER(MATCH(H24,data!J$2:J$29,0)))),1,0)</f>
        <v>0</v>
      </c>
      <c r="J24" s="17" t="str">
        <f aca="false">IF(NOT(ISBLANK(creatives!E25)),VLOOKUP(creatives!E25,data!M$2:N$38,2,0),"")</f>
        <v/>
      </c>
      <c r="K24" s="17" t="n">
        <f aca="false">IF(NOT(ISNUMBER(MATCH(J24,data!N$2:N$38,0))),1,0)</f>
        <v>1</v>
      </c>
      <c r="L24" s="18" t="str">
        <f aca="false">IF(NOT(ISBLANK(creatives!C25)),VLOOKUP(creatives!C25,data!$A$2:$B$705,2,0),"")</f>
        <v/>
      </c>
      <c r="M24" s="17" t="n">
        <f aca="false">IF(NOT(ISNUMBER(MATCH(L24,data!B$2:B$705,0))),1,0)</f>
        <v>1</v>
      </c>
      <c r="N24" s="19" t="b">
        <f aca="false">IF(NOT(A24),TRUE(),AND(A24,SUM(B24,C24,D24,E24,F24,G24,K24,M24,I24)=0))</f>
        <v>1</v>
      </c>
      <c r="O24" s="20" t="n">
        <v>23</v>
      </c>
      <c r="P24" s="19" t="b">
        <f aca="false">IF(A24,COUNTIF(A$2:A24, CONCATENATE("=", TRUE()))=O24, TRUE())</f>
        <v>1</v>
      </c>
      <c r="Q24" s="1" t="n">
        <f aca="false">IF(A24,O24,0)</f>
        <v>0</v>
      </c>
    </row>
    <row r="25" customFormat="false" ht="15.65" hidden="false" customHeight="false" outlineLevel="0" collapsed="false">
      <c r="A25" s="17" t="b">
        <f aca="false">COUNTIF(creatives!B26:J26, "*")&gt;0</f>
        <v>0</v>
      </c>
      <c r="B25" s="17" t="n">
        <f aca="false">IF(OR(NOT(ISTEXT(creatives!B26)), ISBLANK(creatives!B26), LEN(TRIM(creatives!B26))&gt;200), 1, 0)</f>
        <v>1</v>
      </c>
      <c r="C25" s="17" t="n">
        <f aca="false">IF(NOT(ISNUMBER(MATCH(creatives!D26,data!C$2:C$6,0))),1,0)</f>
        <v>1</v>
      </c>
      <c r="D25" s="17" t="n">
        <f aca="false">IF(OR(LEFT(creatives!G26,7)="http://",LEFT(creatives!G26,8)="https://"), 0, 1)</f>
        <v>1</v>
      </c>
      <c r="E25" s="17" t="n">
        <f aca="false">IF(OR(LEFT(creatives!H26,7)="http://",LEFT(creatives!H26,8)="https://"), 0, 1)</f>
        <v>1</v>
      </c>
      <c r="F25" s="17" t="n">
        <f aca="false">IF(NOT(ISNUMBER(MATCH(creatives!I26,data!G$2:G$6,0))),1,0)</f>
        <v>1</v>
      </c>
      <c r="G25" s="17" t="n">
        <f aca="false">IF(ISBLANK(creatives!J26), 1, 0)</f>
        <v>1</v>
      </c>
      <c r="H25" s="17" t="str">
        <f aca="false">IF(NOT(ISBLANK(creatives!F26)),VLOOKUP(creatives!F26,data!I$2:J$29,2,0),"")</f>
        <v/>
      </c>
      <c r="I25" s="17" t="n">
        <f aca="false">IF(AND(NOT(ISBLANK(creatives!F26)),NOT(ISNUMBER(MATCH(H25,data!J$2:J$29,0)))),1,0)</f>
        <v>0</v>
      </c>
      <c r="J25" s="17" t="str">
        <f aca="false">IF(NOT(ISBLANK(creatives!E26)),VLOOKUP(creatives!E26,data!M$2:N$38,2,0),"")</f>
        <v/>
      </c>
      <c r="K25" s="17" t="n">
        <f aca="false">IF(NOT(ISNUMBER(MATCH(J25,data!N$2:N$38,0))),1,0)</f>
        <v>1</v>
      </c>
      <c r="L25" s="18" t="str">
        <f aca="false">IF(NOT(ISBLANK(creatives!C26)),VLOOKUP(creatives!C26,data!$A$2:$B$705,2,0),"")</f>
        <v/>
      </c>
      <c r="M25" s="17" t="n">
        <f aca="false">IF(NOT(ISNUMBER(MATCH(L25,data!B$2:B$705,0))),1,0)</f>
        <v>1</v>
      </c>
      <c r="N25" s="19" t="b">
        <f aca="false">IF(NOT(A25),TRUE(),AND(A25,SUM(B25,C25,D25,E25,F25,G25,K25,M25,I25)=0))</f>
        <v>1</v>
      </c>
      <c r="O25" s="20" t="n">
        <v>24</v>
      </c>
      <c r="P25" s="19" t="b">
        <f aca="false">IF(A25,COUNTIF(A$2:A25, CONCATENATE("=", TRUE()))=O25, TRUE())</f>
        <v>1</v>
      </c>
      <c r="Q25" s="1" t="n">
        <f aca="false">IF(A25,O25,0)</f>
        <v>0</v>
      </c>
    </row>
    <row r="26" customFormat="false" ht="15.65" hidden="false" customHeight="false" outlineLevel="0" collapsed="false">
      <c r="A26" s="17" t="b">
        <f aca="false">COUNTIF(creatives!B27:J27, "*")&gt;0</f>
        <v>0</v>
      </c>
      <c r="B26" s="17" t="n">
        <f aca="false">IF(OR(NOT(ISTEXT(creatives!B27)), ISBLANK(creatives!B27), LEN(TRIM(creatives!B27))&gt;200), 1, 0)</f>
        <v>1</v>
      </c>
      <c r="C26" s="17" t="n">
        <f aca="false">IF(NOT(ISNUMBER(MATCH(creatives!D27,data!C$2:C$6,0))),1,0)</f>
        <v>1</v>
      </c>
      <c r="D26" s="17" t="n">
        <f aca="false">IF(OR(LEFT(creatives!G27,7)="http://",LEFT(creatives!G27,8)="https://"), 0, 1)</f>
        <v>1</v>
      </c>
      <c r="E26" s="17" t="n">
        <f aca="false">IF(OR(LEFT(creatives!H27,7)="http://",LEFT(creatives!H27,8)="https://"), 0, 1)</f>
        <v>1</v>
      </c>
      <c r="F26" s="17" t="n">
        <f aca="false">IF(NOT(ISNUMBER(MATCH(creatives!I27,data!G$2:G$6,0))),1,0)</f>
        <v>1</v>
      </c>
      <c r="G26" s="17" t="n">
        <f aca="false">IF(ISBLANK(creatives!J27), 1, 0)</f>
        <v>1</v>
      </c>
      <c r="H26" s="17" t="str">
        <f aca="false">IF(NOT(ISBLANK(creatives!F27)),VLOOKUP(creatives!F27,data!I$2:J$29,2,0),"")</f>
        <v/>
      </c>
      <c r="I26" s="17" t="n">
        <f aca="false">IF(AND(NOT(ISBLANK(creatives!F27)),NOT(ISNUMBER(MATCH(H26,data!J$2:J$29,0)))),1,0)</f>
        <v>0</v>
      </c>
      <c r="J26" s="17" t="str">
        <f aca="false">IF(NOT(ISBLANK(creatives!E27)),VLOOKUP(creatives!E27,data!M$2:N$38,2,0),"")</f>
        <v/>
      </c>
      <c r="K26" s="17" t="n">
        <f aca="false">IF(NOT(ISNUMBER(MATCH(J26,data!N$2:N$38,0))),1,0)</f>
        <v>1</v>
      </c>
      <c r="L26" s="18" t="str">
        <f aca="false">IF(NOT(ISBLANK(creatives!C27)),VLOOKUP(creatives!C27,data!$A$2:$B$705,2,0),"")</f>
        <v/>
      </c>
      <c r="M26" s="17" t="n">
        <f aca="false">IF(NOT(ISNUMBER(MATCH(L26,data!B$2:B$705,0))),1,0)</f>
        <v>1</v>
      </c>
      <c r="N26" s="19" t="b">
        <f aca="false">IF(NOT(A26),TRUE(),AND(A26,SUM(B26,C26,D26,E26,F26,G26,K26,M26,I26)=0))</f>
        <v>1</v>
      </c>
      <c r="O26" s="20" t="n">
        <v>25</v>
      </c>
      <c r="P26" s="19" t="b">
        <f aca="false">IF(A26,COUNTIF(A$2:A26, CONCATENATE("=", TRUE()))=O26, TRUE())</f>
        <v>1</v>
      </c>
      <c r="Q26" s="1" t="n">
        <f aca="false">IF(A26,O26,0)</f>
        <v>0</v>
      </c>
    </row>
    <row r="27" customFormat="false" ht="15.65" hidden="false" customHeight="false" outlineLevel="0" collapsed="false">
      <c r="A27" s="17" t="b">
        <f aca="false">COUNTIF(creatives!B28:J28, "*")&gt;0</f>
        <v>0</v>
      </c>
      <c r="B27" s="17" t="n">
        <f aca="false">IF(OR(NOT(ISTEXT(creatives!B28)), ISBLANK(creatives!B28), LEN(TRIM(creatives!B28))&gt;200), 1, 0)</f>
        <v>1</v>
      </c>
      <c r="C27" s="17" t="n">
        <f aca="false">IF(NOT(ISNUMBER(MATCH(creatives!D28,data!C$2:C$6,0))),1,0)</f>
        <v>1</v>
      </c>
      <c r="D27" s="17" t="n">
        <f aca="false">IF(OR(LEFT(creatives!G28,7)="http://",LEFT(creatives!G28,8)="https://"), 0, 1)</f>
        <v>1</v>
      </c>
      <c r="E27" s="17" t="n">
        <f aca="false">IF(OR(LEFT(creatives!H28,7)="http://",LEFT(creatives!H28,8)="https://"), 0, 1)</f>
        <v>1</v>
      </c>
      <c r="F27" s="17" t="n">
        <f aca="false">IF(NOT(ISNUMBER(MATCH(creatives!I28,data!G$2:G$6,0))),1,0)</f>
        <v>1</v>
      </c>
      <c r="G27" s="17" t="n">
        <f aca="false">IF(ISBLANK(creatives!J28), 1, 0)</f>
        <v>1</v>
      </c>
      <c r="H27" s="17" t="str">
        <f aca="false">IF(NOT(ISBLANK(creatives!F28)),VLOOKUP(creatives!F28,data!I$2:J$29,2,0),"")</f>
        <v/>
      </c>
      <c r="I27" s="17" t="n">
        <f aca="false">IF(AND(NOT(ISBLANK(creatives!F28)),NOT(ISNUMBER(MATCH(H27,data!J$2:J$29,0)))),1,0)</f>
        <v>0</v>
      </c>
      <c r="J27" s="17" t="str">
        <f aca="false">IF(NOT(ISBLANK(creatives!E28)),VLOOKUP(creatives!E28,data!M$2:N$38,2,0),"")</f>
        <v/>
      </c>
      <c r="K27" s="17" t="n">
        <f aca="false">IF(NOT(ISNUMBER(MATCH(J27,data!N$2:N$38,0))),1,0)</f>
        <v>1</v>
      </c>
      <c r="L27" s="18" t="str">
        <f aca="false">IF(NOT(ISBLANK(creatives!C28)),VLOOKUP(creatives!C28,data!$A$2:$B$705,2,0),"")</f>
        <v/>
      </c>
      <c r="M27" s="17" t="n">
        <f aca="false">IF(NOT(ISNUMBER(MATCH(L27,data!B$2:B$705,0))),1,0)</f>
        <v>1</v>
      </c>
      <c r="N27" s="19" t="b">
        <f aca="false">IF(NOT(A27),TRUE(),AND(A27,SUM(B27,C27,D27,E27,F27,G27,K27,M27,I27)=0))</f>
        <v>1</v>
      </c>
      <c r="O27" s="20" t="n">
        <v>26</v>
      </c>
      <c r="P27" s="19" t="b">
        <f aca="false">IF(A27,COUNTIF(A$2:A27, CONCATENATE("=", TRUE()))=O27, TRUE())</f>
        <v>1</v>
      </c>
      <c r="Q27" s="1" t="n">
        <f aca="false">IF(A27,O27,0)</f>
        <v>0</v>
      </c>
    </row>
    <row r="28" customFormat="false" ht="15.65" hidden="false" customHeight="false" outlineLevel="0" collapsed="false">
      <c r="A28" s="17" t="b">
        <f aca="false">COUNTIF(creatives!B29:J29, "*")&gt;0</f>
        <v>0</v>
      </c>
      <c r="B28" s="17" t="n">
        <f aca="false">IF(OR(NOT(ISTEXT(creatives!B29)), ISBLANK(creatives!B29), LEN(TRIM(creatives!B29))&gt;200), 1, 0)</f>
        <v>1</v>
      </c>
      <c r="C28" s="17" t="n">
        <f aca="false">IF(NOT(ISNUMBER(MATCH(creatives!D29,data!C$2:C$6,0))),1,0)</f>
        <v>1</v>
      </c>
      <c r="D28" s="17" t="n">
        <f aca="false">IF(OR(LEFT(creatives!G29,7)="http://",LEFT(creatives!G29,8)="https://"), 0, 1)</f>
        <v>1</v>
      </c>
      <c r="E28" s="17" t="n">
        <f aca="false">IF(OR(LEFT(creatives!H29,7)="http://",LEFT(creatives!H29,8)="https://"), 0, 1)</f>
        <v>1</v>
      </c>
      <c r="F28" s="17" t="n">
        <f aca="false">IF(NOT(ISNUMBER(MATCH(creatives!I29,data!G$2:G$6,0))),1,0)</f>
        <v>1</v>
      </c>
      <c r="G28" s="17" t="n">
        <f aca="false">IF(ISBLANK(creatives!J29), 1, 0)</f>
        <v>1</v>
      </c>
      <c r="H28" s="17" t="str">
        <f aca="false">IF(NOT(ISBLANK(creatives!F29)),VLOOKUP(creatives!F29,data!I$2:J$29,2,0),"")</f>
        <v/>
      </c>
      <c r="I28" s="17" t="n">
        <f aca="false">IF(AND(NOT(ISBLANK(creatives!F29)),NOT(ISNUMBER(MATCH(H28,data!J$2:J$29,0)))),1,0)</f>
        <v>0</v>
      </c>
      <c r="J28" s="17" t="str">
        <f aca="false">IF(NOT(ISBLANK(creatives!E29)),VLOOKUP(creatives!E29,data!M$2:N$38,2,0),"")</f>
        <v/>
      </c>
      <c r="K28" s="17" t="n">
        <f aca="false">IF(NOT(ISNUMBER(MATCH(J28,data!N$2:N$38,0))),1,0)</f>
        <v>1</v>
      </c>
      <c r="L28" s="18" t="str">
        <f aca="false">IF(NOT(ISBLANK(creatives!C29)),VLOOKUP(creatives!C29,data!$A$2:$B$705,2,0),"")</f>
        <v/>
      </c>
      <c r="M28" s="17" t="n">
        <f aca="false">IF(NOT(ISNUMBER(MATCH(L28,data!B$2:B$705,0))),1,0)</f>
        <v>1</v>
      </c>
      <c r="N28" s="19" t="b">
        <f aca="false">IF(NOT(A28),TRUE(),AND(A28,SUM(B28,C28,D28,E28,F28,G28,K28,M28,I28)=0))</f>
        <v>1</v>
      </c>
      <c r="O28" s="20" t="n">
        <v>27</v>
      </c>
      <c r="P28" s="19" t="b">
        <f aca="false">IF(A28,COUNTIF(A$2:A28, CONCATENATE("=", TRUE()))=O28, TRUE())</f>
        <v>1</v>
      </c>
      <c r="Q28" s="1" t="n">
        <f aca="false">IF(A28,O28,0)</f>
        <v>0</v>
      </c>
    </row>
    <row r="29" customFormat="false" ht="15.65" hidden="false" customHeight="false" outlineLevel="0" collapsed="false">
      <c r="A29" s="17" t="b">
        <f aca="false">COUNTIF(creatives!B30:J30, "*")&gt;0</f>
        <v>0</v>
      </c>
      <c r="B29" s="17" t="n">
        <f aca="false">IF(OR(NOT(ISTEXT(creatives!B30)), ISBLANK(creatives!B30), LEN(TRIM(creatives!B30))&gt;200), 1, 0)</f>
        <v>1</v>
      </c>
      <c r="C29" s="17" t="n">
        <f aca="false">IF(NOT(ISNUMBER(MATCH(creatives!D30,data!C$2:C$6,0))),1,0)</f>
        <v>1</v>
      </c>
      <c r="D29" s="17" t="n">
        <f aca="false">IF(OR(LEFT(creatives!G30,7)="http://",LEFT(creatives!G30,8)="https://"), 0, 1)</f>
        <v>1</v>
      </c>
      <c r="E29" s="17" t="n">
        <f aca="false">IF(OR(LEFT(creatives!H30,7)="http://",LEFT(creatives!H30,8)="https://"), 0, 1)</f>
        <v>1</v>
      </c>
      <c r="F29" s="17" t="n">
        <f aca="false">IF(NOT(ISNUMBER(MATCH(creatives!I30,data!G$2:G$6,0))),1,0)</f>
        <v>1</v>
      </c>
      <c r="G29" s="17" t="n">
        <f aca="false">IF(ISBLANK(creatives!J30), 1, 0)</f>
        <v>1</v>
      </c>
      <c r="H29" s="17" t="str">
        <f aca="false">IF(NOT(ISBLANK(creatives!F30)),VLOOKUP(creatives!F30,data!I$2:J$29,2,0),"")</f>
        <v/>
      </c>
      <c r="I29" s="17" t="n">
        <f aca="false">IF(AND(NOT(ISBLANK(creatives!F30)),NOT(ISNUMBER(MATCH(H29,data!J$2:J$29,0)))),1,0)</f>
        <v>0</v>
      </c>
      <c r="J29" s="17" t="str">
        <f aca="false">IF(NOT(ISBLANK(creatives!E30)),VLOOKUP(creatives!E30,data!M$2:N$38,2,0),"")</f>
        <v/>
      </c>
      <c r="K29" s="17" t="n">
        <f aca="false">IF(NOT(ISNUMBER(MATCH(J29,data!N$2:N$38,0))),1,0)</f>
        <v>1</v>
      </c>
      <c r="L29" s="18" t="str">
        <f aca="false">IF(NOT(ISBLANK(creatives!C30)),VLOOKUP(creatives!C30,data!$A$2:$B$705,2,0),"")</f>
        <v/>
      </c>
      <c r="M29" s="17" t="n">
        <f aca="false">IF(NOT(ISNUMBER(MATCH(L29,data!B$2:B$705,0))),1,0)</f>
        <v>1</v>
      </c>
      <c r="N29" s="19" t="b">
        <f aca="false">IF(NOT(A29),TRUE(),AND(A29,SUM(B29,C29,D29,E29,F29,G29,K29,M29,I29)=0))</f>
        <v>1</v>
      </c>
      <c r="O29" s="20" t="n">
        <v>28</v>
      </c>
      <c r="P29" s="19" t="b">
        <f aca="false">IF(A29,COUNTIF(A$2:A29, CONCATENATE("=", TRUE()))=O29, TRUE())</f>
        <v>1</v>
      </c>
      <c r="Q29" s="1" t="n">
        <f aca="false">IF(A29,O29,0)</f>
        <v>0</v>
      </c>
    </row>
    <row r="30" customFormat="false" ht="15.65" hidden="false" customHeight="false" outlineLevel="0" collapsed="false">
      <c r="A30" s="17" t="b">
        <f aca="false">COUNTIF(creatives!B31:J31, "*")&gt;0</f>
        <v>0</v>
      </c>
      <c r="B30" s="17" t="n">
        <f aca="false">IF(OR(NOT(ISTEXT(creatives!B31)), ISBLANK(creatives!B31), LEN(TRIM(creatives!B31))&gt;200), 1, 0)</f>
        <v>1</v>
      </c>
      <c r="C30" s="17" t="n">
        <f aca="false">IF(NOT(ISNUMBER(MATCH(creatives!D31,data!C$2:C$6,0))),1,0)</f>
        <v>1</v>
      </c>
      <c r="D30" s="17" t="n">
        <f aca="false">IF(OR(LEFT(creatives!G31,7)="http://",LEFT(creatives!G31,8)="https://"), 0, 1)</f>
        <v>1</v>
      </c>
      <c r="E30" s="17" t="n">
        <f aca="false">IF(OR(LEFT(creatives!H31,7)="http://",LEFT(creatives!H31,8)="https://"), 0, 1)</f>
        <v>1</v>
      </c>
      <c r="F30" s="17" t="n">
        <f aca="false">IF(NOT(ISNUMBER(MATCH(creatives!I31,data!G$2:G$6,0))),1,0)</f>
        <v>1</v>
      </c>
      <c r="G30" s="17" t="n">
        <f aca="false">IF(ISBLANK(creatives!J31), 1, 0)</f>
        <v>1</v>
      </c>
      <c r="H30" s="17" t="str">
        <f aca="false">IF(NOT(ISBLANK(creatives!F31)),VLOOKUP(creatives!F31,data!I$2:J$29,2,0),"")</f>
        <v/>
      </c>
      <c r="I30" s="17" t="n">
        <f aca="false">IF(AND(NOT(ISBLANK(creatives!F31)),NOT(ISNUMBER(MATCH(H30,data!J$2:J$29,0)))),1,0)</f>
        <v>0</v>
      </c>
      <c r="J30" s="17" t="str">
        <f aca="false">IF(NOT(ISBLANK(creatives!E31)),VLOOKUP(creatives!E31,data!M$2:N$38,2,0),"")</f>
        <v/>
      </c>
      <c r="K30" s="17" t="n">
        <f aca="false">IF(NOT(ISNUMBER(MATCH(J30,data!N$2:N$38,0))),1,0)</f>
        <v>1</v>
      </c>
      <c r="L30" s="18" t="str">
        <f aca="false">IF(NOT(ISBLANK(creatives!C31)),VLOOKUP(creatives!C31,data!$A$2:$B$705,2,0),"")</f>
        <v/>
      </c>
      <c r="M30" s="17" t="n">
        <f aca="false">IF(NOT(ISNUMBER(MATCH(L30,data!B$2:B$705,0))),1,0)</f>
        <v>1</v>
      </c>
      <c r="N30" s="19" t="b">
        <f aca="false">IF(NOT(A30),TRUE(),AND(A30,SUM(B30,C30,D30,E30,F30,G30,K30,M30,I30)=0))</f>
        <v>1</v>
      </c>
      <c r="O30" s="20" t="n">
        <v>29</v>
      </c>
      <c r="P30" s="19" t="b">
        <f aca="false">IF(A30,COUNTIF(A$2:A30, CONCATENATE("=", TRUE()))=O30, TRUE())</f>
        <v>1</v>
      </c>
      <c r="Q30" s="1" t="n">
        <f aca="false">IF(A30,O30,0)</f>
        <v>0</v>
      </c>
    </row>
    <row r="31" customFormat="false" ht="15.65" hidden="false" customHeight="false" outlineLevel="0" collapsed="false">
      <c r="A31" s="17" t="b">
        <f aca="false">COUNTIF(creatives!B32:J32, "*")&gt;0</f>
        <v>0</v>
      </c>
      <c r="B31" s="17" t="n">
        <f aca="false">IF(OR(NOT(ISTEXT(creatives!B32)), ISBLANK(creatives!B32), LEN(TRIM(creatives!B32))&gt;200), 1, 0)</f>
        <v>1</v>
      </c>
      <c r="C31" s="17" t="n">
        <f aca="false">IF(NOT(ISNUMBER(MATCH(creatives!D32,data!C$2:C$6,0))),1,0)</f>
        <v>1</v>
      </c>
      <c r="D31" s="17" t="n">
        <f aca="false">IF(OR(LEFT(creatives!G32,7)="http://",LEFT(creatives!G32,8)="https://"), 0, 1)</f>
        <v>1</v>
      </c>
      <c r="E31" s="17" t="n">
        <f aca="false">IF(OR(LEFT(creatives!H32,7)="http://",LEFT(creatives!H32,8)="https://"), 0, 1)</f>
        <v>1</v>
      </c>
      <c r="F31" s="17" t="n">
        <f aca="false">IF(NOT(ISNUMBER(MATCH(creatives!I32,data!G$2:G$6,0))),1,0)</f>
        <v>1</v>
      </c>
      <c r="G31" s="17" t="n">
        <f aca="false">IF(ISBLANK(creatives!J32), 1, 0)</f>
        <v>1</v>
      </c>
      <c r="H31" s="17" t="str">
        <f aca="false">IF(NOT(ISBLANK(creatives!F32)),VLOOKUP(creatives!F32,data!I$2:J$29,2,0),"")</f>
        <v/>
      </c>
      <c r="I31" s="17" t="n">
        <f aca="false">IF(AND(NOT(ISBLANK(creatives!F32)),NOT(ISNUMBER(MATCH(H31,data!J$2:J$29,0)))),1,0)</f>
        <v>0</v>
      </c>
      <c r="J31" s="17" t="str">
        <f aca="false">IF(NOT(ISBLANK(creatives!E32)),VLOOKUP(creatives!E32,data!M$2:N$38,2,0),"")</f>
        <v/>
      </c>
      <c r="K31" s="17" t="n">
        <f aca="false">IF(NOT(ISNUMBER(MATCH(J31,data!N$2:N$38,0))),1,0)</f>
        <v>1</v>
      </c>
      <c r="L31" s="18" t="str">
        <f aca="false">IF(NOT(ISBLANK(creatives!C32)),VLOOKUP(creatives!C32,data!$A$2:$B$705,2,0),"")</f>
        <v/>
      </c>
      <c r="M31" s="17" t="n">
        <f aca="false">IF(NOT(ISNUMBER(MATCH(L31,data!B$2:B$705,0))),1,0)</f>
        <v>1</v>
      </c>
      <c r="N31" s="19" t="b">
        <f aca="false">IF(NOT(A31),TRUE(),AND(A31,SUM(B31,C31,D31,E31,F31,G31,K31,M31,I31)=0))</f>
        <v>1</v>
      </c>
      <c r="O31" s="20" t="n">
        <v>30</v>
      </c>
      <c r="P31" s="19" t="b">
        <f aca="false">IF(A31,COUNTIF(A$2:A31, CONCATENATE("=", TRUE()))=O31, TRUE())</f>
        <v>1</v>
      </c>
      <c r="Q31" s="1" t="n">
        <f aca="false">IF(A31,O31,0)</f>
        <v>0</v>
      </c>
    </row>
    <row r="32" customFormat="false" ht="15.65" hidden="false" customHeight="false" outlineLevel="0" collapsed="false">
      <c r="A32" s="17" t="b">
        <f aca="false">COUNTIF(creatives!B33:J33, "*")&gt;0</f>
        <v>0</v>
      </c>
      <c r="B32" s="17" t="n">
        <f aca="false">IF(OR(NOT(ISTEXT(creatives!B33)), ISBLANK(creatives!B33), LEN(TRIM(creatives!B33))&gt;200), 1, 0)</f>
        <v>1</v>
      </c>
      <c r="C32" s="17" t="n">
        <f aca="false">IF(NOT(ISNUMBER(MATCH(creatives!D33,data!C$2:C$6,0))),1,0)</f>
        <v>1</v>
      </c>
      <c r="D32" s="17" t="n">
        <f aca="false">IF(OR(LEFT(creatives!G33,7)="http://",LEFT(creatives!G33,8)="https://"), 0, 1)</f>
        <v>1</v>
      </c>
      <c r="E32" s="17" t="n">
        <f aca="false">IF(OR(LEFT(creatives!H33,7)="http://",LEFT(creatives!H33,8)="https://"), 0, 1)</f>
        <v>1</v>
      </c>
      <c r="F32" s="17" t="n">
        <f aca="false">IF(NOT(ISNUMBER(MATCH(creatives!I33,data!G$2:G$6,0))),1,0)</f>
        <v>1</v>
      </c>
      <c r="G32" s="17" t="n">
        <f aca="false">IF(ISBLANK(creatives!J33), 1, 0)</f>
        <v>1</v>
      </c>
      <c r="H32" s="17" t="str">
        <f aca="false">IF(NOT(ISBLANK(creatives!F33)),VLOOKUP(creatives!F33,data!I$2:J$29,2,0),"")</f>
        <v/>
      </c>
      <c r="I32" s="17" t="n">
        <f aca="false">IF(AND(NOT(ISBLANK(creatives!F33)),NOT(ISNUMBER(MATCH(H32,data!J$2:J$29,0)))),1,0)</f>
        <v>0</v>
      </c>
      <c r="J32" s="17" t="str">
        <f aca="false">IF(NOT(ISBLANK(creatives!E33)),VLOOKUP(creatives!E33,data!M$2:N$38,2,0),"")</f>
        <v/>
      </c>
      <c r="K32" s="17" t="n">
        <f aca="false">IF(NOT(ISNUMBER(MATCH(J32,data!N$2:N$38,0))),1,0)</f>
        <v>1</v>
      </c>
      <c r="L32" s="18" t="str">
        <f aca="false">IF(NOT(ISBLANK(creatives!C33)),VLOOKUP(creatives!C33,data!$A$2:$B$705,2,0),"")</f>
        <v/>
      </c>
      <c r="M32" s="17" t="n">
        <f aca="false">IF(NOT(ISNUMBER(MATCH(L32,data!B$2:B$705,0))),1,0)</f>
        <v>1</v>
      </c>
      <c r="N32" s="19" t="b">
        <f aca="false">IF(NOT(A32),TRUE(),AND(A32,SUM(B32,C32,D32,E32,F32,G32,K32,M32,I32)=0))</f>
        <v>1</v>
      </c>
      <c r="O32" s="20" t="n">
        <v>31</v>
      </c>
      <c r="P32" s="19" t="b">
        <f aca="false">IF(A32,COUNTIF(A$2:A32, CONCATENATE("=", TRUE()))=O32, TRUE())</f>
        <v>1</v>
      </c>
      <c r="Q32" s="1" t="n">
        <f aca="false">IF(A32,O32,0)</f>
        <v>0</v>
      </c>
    </row>
    <row r="33" customFormat="false" ht="15.65" hidden="false" customHeight="false" outlineLevel="0" collapsed="false">
      <c r="A33" s="17" t="b">
        <f aca="false">COUNTIF(creatives!B34:J34, "*")&gt;0</f>
        <v>0</v>
      </c>
      <c r="B33" s="17" t="n">
        <f aca="false">IF(OR(NOT(ISTEXT(creatives!B34)), ISBLANK(creatives!B34), LEN(TRIM(creatives!B34))&gt;200), 1, 0)</f>
        <v>1</v>
      </c>
      <c r="C33" s="17" t="n">
        <f aca="false">IF(NOT(ISNUMBER(MATCH(creatives!D34,data!C$2:C$6,0))),1,0)</f>
        <v>1</v>
      </c>
      <c r="D33" s="17" t="n">
        <f aca="false">IF(OR(LEFT(creatives!G34,7)="http://",LEFT(creatives!G34,8)="https://"), 0, 1)</f>
        <v>1</v>
      </c>
      <c r="E33" s="17" t="n">
        <f aca="false">IF(OR(LEFT(creatives!H34,7)="http://",LEFT(creatives!H34,8)="https://"), 0, 1)</f>
        <v>1</v>
      </c>
      <c r="F33" s="17" t="n">
        <f aca="false">IF(NOT(ISNUMBER(MATCH(creatives!I34,data!G$2:G$6,0))),1,0)</f>
        <v>1</v>
      </c>
      <c r="G33" s="17" t="n">
        <f aca="false">IF(ISBLANK(creatives!J34), 1, 0)</f>
        <v>1</v>
      </c>
      <c r="H33" s="17" t="str">
        <f aca="false">IF(NOT(ISBLANK(creatives!F34)),VLOOKUP(creatives!F34,data!I$2:J$29,2,0),"")</f>
        <v/>
      </c>
      <c r="I33" s="17" t="n">
        <f aca="false">IF(AND(NOT(ISBLANK(creatives!F34)),NOT(ISNUMBER(MATCH(H33,data!J$2:J$29,0)))),1,0)</f>
        <v>0</v>
      </c>
      <c r="J33" s="17" t="str">
        <f aca="false">IF(NOT(ISBLANK(creatives!E34)),VLOOKUP(creatives!E34,data!M$2:N$38,2,0),"")</f>
        <v/>
      </c>
      <c r="K33" s="17" t="n">
        <f aca="false">IF(NOT(ISNUMBER(MATCH(J33,data!N$2:N$38,0))),1,0)</f>
        <v>1</v>
      </c>
      <c r="L33" s="18" t="str">
        <f aca="false">IF(NOT(ISBLANK(creatives!C34)),VLOOKUP(creatives!C34,data!$A$2:$B$705,2,0),"")</f>
        <v/>
      </c>
      <c r="M33" s="17" t="n">
        <f aca="false">IF(NOT(ISNUMBER(MATCH(L33,data!B$2:B$705,0))),1,0)</f>
        <v>1</v>
      </c>
      <c r="N33" s="19" t="b">
        <f aca="false">IF(NOT(A33),TRUE(),AND(A33,SUM(B33,C33,D33,E33,F33,G33,K33,M33,I33)=0))</f>
        <v>1</v>
      </c>
      <c r="O33" s="20" t="n">
        <v>32</v>
      </c>
      <c r="P33" s="19" t="b">
        <f aca="false">IF(A33,COUNTIF(A$2:A33, CONCATENATE("=", TRUE()))=O33, TRUE())</f>
        <v>1</v>
      </c>
      <c r="Q33" s="1" t="n">
        <f aca="false">IF(A33,O33,0)</f>
        <v>0</v>
      </c>
    </row>
    <row r="34" customFormat="false" ht="15.65" hidden="false" customHeight="false" outlineLevel="0" collapsed="false">
      <c r="A34" s="17" t="b">
        <f aca="false">COUNTIF(creatives!B35:J35, "*")&gt;0</f>
        <v>0</v>
      </c>
      <c r="B34" s="17" t="n">
        <f aca="false">IF(OR(NOT(ISTEXT(creatives!B35)), ISBLANK(creatives!B35), LEN(TRIM(creatives!B35))&gt;200), 1, 0)</f>
        <v>1</v>
      </c>
      <c r="C34" s="17" t="n">
        <f aca="false">IF(NOT(ISNUMBER(MATCH(creatives!D35,data!C$2:C$6,0))),1,0)</f>
        <v>1</v>
      </c>
      <c r="D34" s="17" t="n">
        <f aca="false">IF(OR(LEFT(creatives!G35,7)="http://",LEFT(creatives!G35,8)="https://"), 0, 1)</f>
        <v>1</v>
      </c>
      <c r="E34" s="17" t="n">
        <f aca="false">IF(OR(LEFT(creatives!H35,7)="http://",LEFT(creatives!H35,8)="https://"), 0, 1)</f>
        <v>1</v>
      </c>
      <c r="F34" s="17" t="n">
        <f aca="false">IF(NOT(ISNUMBER(MATCH(creatives!I35,data!G$2:G$6,0))),1,0)</f>
        <v>1</v>
      </c>
      <c r="G34" s="17" t="n">
        <f aca="false">IF(ISBLANK(creatives!J35), 1, 0)</f>
        <v>1</v>
      </c>
      <c r="H34" s="17" t="str">
        <f aca="false">IF(NOT(ISBLANK(creatives!F35)),VLOOKUP(creatives!F35,data!I$2:J$29,2,0),"")</f>
        <v/>
      </c>
      <c r="I34" s="17" t="n">
        <f aca="false">IF(AND(NOT(ISBLANK(creatives!F35)),NOT(ISNUMBER(MATCH(H34,data!J$2:J$29,0)))),1,0)</f>
        <v>0</v>
      </c>
      <c r="J34" s="17" t="str">
        <f aca="false">IF(NOT(ISBLANK(creatives!E35)),VLOOKUP(creatives!E35,data!M$2:N$38,2,0),"")</f>
        <v/>
      </c>
      <c r="K34" s="17" t="n">
        <f aca="false">IF(NOT(ISNUMBER(MATCH(J34,data!N$2:N$38,0))),1,0)</f>
        <v>1</v>
      </c>
      <c r="L34" s="18" t="str">
        <f aca="false">IF(NOT(ISBLANK(creatives!C35)),VLOOKUP(creatives!C35,data!$A$2:$B$705,2,0),"")</f>
        <v/>
      </c>
      <c r="M34" s="17" t="n">
        <f aca="false">IF(NOT(ISNUMBER(MATCH(L34,data!B$2:B$705,0))),1,0)</f>
        <v>1</v>
      </c>
      <c r="N34" s="19" t="b">
        <f aca="false">IF(NOT(A34),TRUE(),AND(A34,SUM(B34,C34,D34,E34,F34,G34,K34,M34,I34)=0))</f>
        <v>1</v>
      </c>
      <c r="O34" s="20" t="n">
        <v>33</v>
      </c>
      <c r="P34" s="19" t="b">
        <f aca="false">IF(A34,COUNTIF(A$2:A34, CONCATENATE("=", TRUE()))=O34, TRUE())</f>
        <v>1</v>
      </c>
      <c r="Q34" s="1" t="n">
        <f aca="false">IF(A34,O34,0)</f>
        <v>0</v>
      </c>
    </row>
    <row r="35" customFormat="false" ht="15.65" hidden="false" customHeight="false" outlineLevel="0" collapsed="false">
      <c r="A35" s="17" t="b">
        <f aca="false">COUNTIF(creatives!B36:J36, "*")&gt;0</f>
        <v>0</v>
      </c>
      <c r="B35" s="17" t="n">
        <f aca="false">IF(OR(NOT(ISTEXT(creatives!B36)), ISBLANK(creatives!B36), LEN(TRIM(creatives!B36))&gt;200), 1, 0)</f>
        <v>1</v>
      </c>
      <c r="C35" s="17" t="n">
        <f aca="false">IF(NOT(ISNUMBER(MATCH(creatives!D36,data!C$2:C$6,0))),1,0)</f>
        <v>1</v>
      </c>
      <c r="D35" s="17" t="n">
        <f aca="false">IF(OR(LEFT(creatives!G36,7)="http://",LEFT(creatives!G36,8)="https://"), 0, 1)</f>
        <v>1</v>
      </c>
      <c r="E35" s="17" t="n">
        <f aca="false">IF(OR(LEFT(creatives!H36,7)="http://",LEFT(creatives!H36,8)="https://"), 0, 1)</f>
        <v>1</v>
      </c>
      <c r="F35" s="17" t="n">
        <f aca="false">IF(NOT(ISNUMBER(MATCH(creatives!I36,data!G$2:G$6,0))),1,0)</f>
        <v>1</v>
      </c>
      <c r="G35" s="17" t="n">
        <f aca="false">IF(ISBLANK(creatives!J36), 1, 0)</f>
        <v>1</v>
      </c>
      <c r="H35" s="17" t="str">
        <f aca="false">IF(NOT(ISBLANK(creatives!F36)),VLOOKUP(creatives!F36,data!I$2:J$29,2,0),"")</f>
        <v/>
      </c>
      <c r="I35" s="17" t="n">
        <f aca="false">IF(AND(NOT(ISBLANK(creatives!F36)),NOT(ISNUMBER(MATCH(H35,data!J$2:J$29,0)))),1,0)</f>
        <v>0</v>
      </c>
      <c r="J35" s="17" t="str">
        <f aca="false">IF(NOT(ISBLANK(creatives!E36)),VLOOKUP(creatives!E36,data!M$2:N$38,2,0),"")</f>
        <v/>
      </c>
      <c r="K35" s="17" t="n">
        <f aca="false">IF(NOT(ISNUMBER(MATCH(J35,data!N$2:N$38,0))),1,0)</f>
        <v>1</v>
      </c>
      <c r="L35" s="18" t="str">
        <f aca="false">IF(NOT(ISBLANK(creatives!C36)),VLOOKUP(creatives!C36,data!$A$2:$B$705,2,0),"")</f>
        <v/>
      </c>
      <c r="M35" s="17" t="n">
        <f aca="false">IF(NOT(ISNUMBER(MATCH(L35,data!B$2:B$705,0))),1,0)</f>
        <v>1</v>
      </c>
      <c r="N35" s="19" t="b">
        <f aca="false">IF(NOT(A35),TRUE(),AND(A35,SUM(B35,C35,D35,E35,F35,G35,K35,M35,I35)=0))</f>
        <v>1</v>
      </c>
      <c r="O35" s="20" t="n">
        <v>34</v>
      </c>
      <c r="P35" s="19" t="b">
        <f aca="false">IF(A35,COUNTIF(A$2:A35, CONCATENATE("=", TRUE()))=O35, TRUE())</f>
        <v>1</v>
      </c>
      <c r="Q35" s="1" t="n">
        <f aca="false">IF(A35,O35,0)</f>
        <v>0</v>
      </c>
    </row>
    <row r="36" customFormat="false" ht="15.65" hidden="false" customHeight="false" outlineLevel="0" collapsed="false">
      <c r="A36" s="17" t="b">
        <f aca="false">COUNTIF(creatives!B37:J37, "*")&gt;0</f>
        <v>0</v>
      </c>
      <c r="B36" s="17" t="n">
        <f aca="false">IF(OR(NOT(ISTEXT(creatives!B37)), ISBLANK(creatives!B37), LEN(TRIM(creatives!B37))&gt;200), 1, 0)</f>
        <v>1</v>
      </c>
      <c r="C36" s="17" t="n">
        <f aca="false">IF(NOT(ISNUMBER(MATCH(creatives!D37,data!C$2:C$6,0))),1,0)</f>
        <v>1</v>
      </c>
      <c r="D36" s="17" t="n">
        <f aca="false">IF(OR(LEFT(creatives!G37,7)="http://",LEFT(creatives!G37,8)="https://"), 0, 1)</f>
        <v>1</v>
      </c>
      <c r="E36" s="17" t="n">
        <f aca="false">IF(OR(LEFT(creatives!H37,7)="http://",LEFT(creatives!H37,8)="https://"), 0, 1)</f>
        <v>1</v>
      </c>
      <c r="F36" s="17" t="n">
        <f aca="false">IF(NOT(ISNUMBER(MATCH(creatives!I37,data!G$2:G$6,0))),1,0)</f>
        <v>1</v>
      </c>
      <c r="G36" s="17" t="n">
        <f aca="false">IF(ISBLANK(creatives!J37), 1, 0)</f>
        <v>1</v>
      </c>
      <c r="H36" s="17" t="str">
        <f aca="false">IF(NOT(ISBLANK(creatives!F37)),VLOOKUP(creatives!F37,data!I$2:J$29,2,0),"")</f>
        <v/>
      </c>
      <c r="I36" s="17" t="n">
        <f aca="false">IF(AND(NOT(ISBLANK(creatives!F37)),NOT(ISNUMBER(MATCH(H36,data!J$2:J$29,0)))),1,0)</f>
        <v>0</v>
      </c>
      <c r="J36" s="17" t="str">
        <f aca="false">IF(NOT(ISBLANK(creatives!E37)),VLOOKUP(creatives!E37,data!M$2:N$38,2,0),"")</f>
        <v/>
      </c>
      <c r="K36" s="17" t="n">
        <f aca="false">IF(NOT(ISNUMBER(MATCH(J36,data!N$2:N$38,0))),1,0)</f>
        <v>1</v>
      </c>
      <c r="L36" s="18" t="str">
        <f aca="false">IF(NOT(ISBLANK(creatives!C37)),VLOOKUP(creatives!C37,data!$A$2:$B$705,2,0),"")</f>
        <v/>
      </c>
      <c r="M36" s="17" t="n">
        <f aca="false">IF(NOT(ISNUMBER(MATCH(L36,data!B$2:B$705,0))),1,0)</f>
        <v>1</v>
      </c>
      <c r="N36" s="19" t="b">
        <f aca="false">IF(NOT(A36),TRUE(),AND(A36,SUM(B36,C36,D36,E36,F36,G36,K36,M36,I36)=0))</f>
        <v>1</v>
      </c>
      <c r="O36" s="20" t="n">
        <v>35</v>
      </c>
      <c r="P36" s="19" t="b">
        <f aca="false">IF(A36,COUNTIF(A$2:A36, CONCATENATE("=", TRUE()))=O36, TRUE())</f>
        <v>1</v>
      </c>
      <c r="Q36" s="1" t="n">
        <f aca="false">IF(A36,O36,0)</f>
        <v>0</v>
      </c>
    </row>
    <row r="37" customFormat="false" ht="15.65" hidden="false" customHeight="false" outlineLevel="0" collapsed="false">
      <c r="A37" s="17" t="b">
        <f aca="false">COUNTIF(creatives!B38:J38, "*")&gt;0</f>
        <v>0</v>
      </c>
      <c r="B37" s="17" t="n">
        <f aca="false">IF(OR(NOT(ISTEXT(creatives!B38)), ISBLANK(creatives!B38), LEN(TRIM(creatives!B38))&gt;200), 1, 0)</f>
        <v>1</v>
      </c>
      <c r="C37" s="17" t="n">
        <f aca="false">IF(NOT(ISNUMBER(MATCH(creatives!D38,data!C$2:C$6,0))),1,0)</f>
        <v>1</v>
      </c>
      <c r="D37" s="17" t="n">
        <f aca="false">IF(OR(LEFT(creatives!G38,7)="http://",LEFT(creatives!G38,8)="https://"), 0, 1)</f>
        <v>1</v>
      </c>
      <c r="E37" s="17" t="n">
        <f aca="false">IF(OR(LEFT(creatives!H38,7)="http://",LEFT(creatives!H38,8)="https://"), 0, 1)</f>
        <v>1</v>
      </c>
      <c r="F37" s="17" t="n">
        <f aca="false">IF(NOT(ISNUMBER(MATCH(creatives!I38,data!G$2:G$6,0))),1,0)</f>
        <v>1</v>
      </c>
      <c r="G37" s="17" t="n">
        <f aca="false">IF(ISBLANK(creatives!J38), 1, 0)</f>
        <v>1</v>
      </c>
      <c r="H37" s="17" t="str">
        <f aca="false">IF(NOT(ISBLANK(creatives!F38)),VLOOKUP(creatives!F38,data!I$2:J$29,2,0),"")</f>
        <v/>
      </c>
      <c r="I37" s="17" t="n">
        <f aca="false">IF(AND(NOT(ISBLANK(creatives!F38)),NOT(ISNUMBER(MATCH(H37,data!J$2:J$29,0)))),1,0)</f>
        <v>0</v>
      </c>
      <c r="J37" s="17" t="str">
        <f aca="false">IF(NOT(ISBLANK(creatives!E38)),VLOOKUP(creatives!E38,data!M$2:N$38,2,0),"")</f>
        <v/>
      </c>
      <c r="K37" s="17" t="n">
        <f aca="false">IF(NOT(ISNUMBER(MATCH(J37,data!N$2:N$38,0))),1,0)</f>
        <v>1</v>
      </c>
      <c r="L37" s="18" t="str">
        <f aca="false">IF(NOT(ISBLANK(creatives!C38)),VLOOKUP(creatives!C38,data!$A$2:$B$705,2,0),"")</f>
        <v/>
      </c>
      <c r="M37" s="17" t="n">
        <f aca="false">IF(NOT(ISNUMBER(MATCH(L37,data!B$2:B$705,0))),1,0)</f>
        <v>1</v>
      </c>
      <c r="N37" s="19" t="b">
        <f aca="false">IF(NOT(A37),TRUE(),AND(A37,SUM(B37,C37,D37,E37,F37,G37,K37,M37,I37)=0))</f>
        <v>1</v>
      </c>
      <c r="O37" s="20" t="n">
        <v>36</v>
      </c>
      <c r="P37" s="19" t="b">
        <f aca="false">IF(A37,COUNTIF(A$2:A37, CONCATENATE("=", TRUE()))=O37, TRUE())</f>
        <v>1</v>
      </c>
      <c r="Q37" s="1" t="n">
        <f aca="false">IF(A37,O37,0)</f>
        <v>0</v>
      </c>
    </row>
    <row r="38" customFormat="false" ht="15.65" hidden="false" customHeight="false" outlineLevel="0" collapsed="false">
      <c r="A38" s="17" t="b">
        <f aca="false">COUNTIF(creatives!B39:J39, "*")&gt;0</f>
        <v>0</v>
      </c>
      <c r="B38" s="17" t="n">
        <f aca="false">IF(OR(NOT(ISTEXT(creatives!B39)), ISBLANK(creatives!B39), LEN(TRIM(creatives!B39))&gt;200), 1, 0)</f>
        <v>1</v>
      </c>
      <c r="C38" s="17" t="n">
        <f aca="false">IF(NOT(ISNUMBER(MATCH(creatives!D39,data!C$2:C$6,0))),1,0)</f>
        <v>1</v>
      </c>
      <c r="D38" s="17" t="n">
        <f aca="false">IF(OR(LEFT(creatives!G39,7)="http://",LEFT(creatives!G39,8)="https://"), 0, 1)</f>
        <v>1</v>
      </c>
      <c r="E38" s="17" t="n">
        <f aca="false">IF(OR(LEFT(creatives!H39,7)="http://",LEFT(creatives!H39,8)="https://"), 0, 1)</f>
        <v>1</v>
      </c>
      <c r="F38" s="17" t="n">
        <f aca="false">IF(NOT(ISNUMBER(MATCH(creatives!I39,data!G$2:G$6,0))),1,0)</f>
        <v>1</v>
      </c>
      <c r="G38" s="17" t="n">
        <f aca="false">IF(ISBLANK(creatives!J39), 1, 0)</f>
        <v>1</v>
      </c>
      <c r="H38" s="17" t="str">
        <f aca="false">IF(NOT(ISBLANK(creatives!F39)),VLOOKUP(creatives!F39,data!I$2:J$29,2,0),"")</f>
        <v/>
      </c>
      <c r="I38" s="17" t="n">
        <f aca="false">IF(AND(NOT(ISBLANK(creatives!F39)),NOT(ISNUMBER(MATCH(H38,data!J$2:J$29,0)))),1,0)</f>
        <v>0</v>
      </c>
      <c r="J38" s="17" t="str">
        <f aca="false">IF(NOT(ISBLANK(creatives!E39)),VLOOKUP(creatives!E39,data!M$2:N$38,2,0),"")</f>
        <v/>
      </c>
      <c r="K38" s="17" t="n">
        <f aca="false">IF(NOT(ISNUMBER(MATCH(J38,data!N$2:N$38,0))),1,0)</f>
        <v>1</v>
      </c>
      <c r="L38" s="18" t="str">
        <f aca="false">IF(NOT(ISBLANK(creatives!C39)),VLOOKUP(creatives!C39,data!$A$2:$B$705,2,0),"")</f>
        <v/>
      </c>
      <c r="M38" s="17" t="n">
        <f aca="false">IF(NOT(ISNUMBER(MATCH(L38,data!B$2:B$705,0))),1,0)</f>
        <v>1</v>
      </c>
      <c r="N38" s="19" t="b">
        <f aca="false">IF(NOT(A38),TRUE(),AND(A38,SUM(B38,C38,D38,E38,F38,G38,K38,M38,I38)=0))</f>
        <v>1</v>
      </c>
      <c r="O38" s="20" t="n">
        <v>37</v>
      </c>
      <c r="P38" s="19" t="b">
        <f aca="false">IF(A38,COUNTIF(A$2:A38, CONCATENATE("=", TRUE()))=O38, TRUE())</f>
        <v>1</v>
      </c>
      <c r="Q38" s="1" t="n">
        <f aca="false">IF(A38,O38,0)</f>
        <v>0</v>
      </c>
    </row>
    <row r="39" customFormat="false" ht="15.65" hidden="false" customHeight="false" outlineLevel="0" collapsed="false">
      <c r="A39" s="17" t="b">
        <f aca="false">COUNTIF(creatives!B40:J40, "*")&gt;0</f>
        <v>0</v>
      </c>
      <c r="B39" s="17" t="n">
        <f aca="false">IF(OR(NOT(ISTEXT(creatives!B40)), ISBLANK(creatives!B40), LEN(TRIM(creatives!B40))&gt;200), 1, 0)</f>
        <v>1</v>
      </c>
      <c r="C39" s="17" t="n">
        <f aca="false">IF(NOT(ISNUMBER(MATCH(creatives!D40,data!C$2:C$6,0))),1,0)</f>
        <v>1</v>
      </c>
      <c r="D39" s="17" t="n">
        <f aca="false">IF(OR(LEFT(creatives!G40,7)="http://",LEFT(creatives!G40,8)="https://"), 0, 1)</f>
        <v>1</v>
      </c>
      <c r="E39" s="17" t="n">
        <f aca="false">IF(OR(LEFT(creatives!H40,7)="http://",LEFT(creatives!H40,8)="https://"), 0, 1)</f>
        <v>1</v>
      </c>
      <c r="F39" s="17" t="n">
        <f aca="false">IF(NOT(ISNUMBER(MATCH(creatives!I40,data!G$2:G$6,0))),1,0)</f>
        <v>1</v>
      </c>
      <c r="G39" s="17" t="n">
        <f aca="false">IF(ISBLANK(creatives!J40), 1, 0)</f>
        <v>1</v>
      </c>
      <c r="H39" s="17" t="str">
        <f aca="false">IF(NOT(ISBLANK(creatives!F40)),VLOOKUP(creatives!F40,data!I$2:J$29,2,0),"")</f>
        <v/>
      </c>
      <c r="I39" s="17" t="n">
        <f aca="false">IF(AND(NOT(ISBLANK(creatives!F40)),NOT(ISNUMBER(MATCH(H39,data!J$2:J$29,0)))),1,0)</f>
        <v>0</v>
      </c>
      <c r="J39" s="17" t="str">
        <f aca="false">IF(NOT(ISBLANK(creatives!E40)),VLOOKUP(creatives!E40,data!M$2:N$38,2,0),"")</f>
        <v/>
      </c>
      <c r="K39" s="17" t="n">
        <f aca="false">IF(NOT(ISNUMBER(MATCH(J39,data!N$2:N$38,0))),1,0)</f>
        <v>1</v>
      </c>
      <c r="L39" s="18" t="str">
        <f aca="false">IF(NOT(ISBLANK(creatives!C40)),VLOOKUP(creatives!C40,data!$A$2:$B$705,2,0),"")</f>
        <v/>
      </c>
      <c r="M39" s="17" t="n">
        <f aca="false">IF(NOT(ISNUMBER(MATCH(L39,data!B$2:B$705,0))),1,0)</f>
        <v>1</v>
      </c>
      <c r="N39" s="19" t="b">
        <f aca="false">IF(NOT(A39),TRUE(),AND(A39,SUM(B39,C39,D39,E39,F39,G39,K39,M39,I39)=0))</f>
        <v>1</v>
      </c>
      <c r="O39" s="20" t="n">
        <v>38</v>
      </c>
      <c r="P39" s="19" t="b">
        <f aca="false">IF(A39,COUNTIF(A$2:A39, CONCATENATE("=", TRUE()))=O39, TRUE())</f>
        <v>1</v>
      </c>
      <c r="Q39" s="1" t="n">
        <f aca="false">IF(A39,O39,0)</f>
        <v>0</v>
      </c>
    </row>
    <row r="40" customFormat="false" ht="15.65" hidden="false" customHeight="false" outlineLevel="0" collapsed="false">
      <c r="A40" s="17" t="b">
        <f aca="false">COUNTIF(creatives!B41:J41, "*")&gt;0</f>
        <v>0</v>
      </c>
      <c r="B40" s="17" t="n">
        <f aca="false">IF(OR(NOT(ISTEXT(creatives!B41)), ISBLANK(creatives!B41), LEN(TRIM(creatives!B41))&gt;200), 1, 0)</f>
        <v>1</v>
      </c>
      <c r="C40" s="17" t="n">
        <f aca="false">IF(NOT(ISNUMBER(MATCH(creatives!D41,data!C$2:C$6,0))),1,0)</f>
        <v>1</v>
      </c>
      <c r="D40" s="17" t="n">
        <f aca="false">IF(OR(LEFT(creatives!G41,7)="http://",LEFT(creatives!G41,8)="https://"), 0, 1)</f>
        <v>1</v>
      </c>
      <c r="E40" s="17" t="n">
        <f aca="false">IF(OR(LEFT(creatives!H41,7)="http://",LEFT(creatives!H41,8)="https://"), 0, 1)</f>
        <v>1</v>
      </c>
      <c r="F40" s="17" t="n">
        <f aca="false">IF(NOT(ISNUMBER(MATCH(creatives!I41,data!G$2:G$6,0))),1,0)</f>
        <v>1</v>
      </c>
      <c r="G40" s="17" t="n">
        <f aca="false">IF(ISBLANK(creatives!J41), 1, 0)</f>
        <v>1</v>
      </c>
      <c r="H40" s="17" t="str">
        <f aca="false">IF(NOT(ISBLANK(creatives!F41)),VLOOKUP(creatives!F41,data!I$2:J$29,2,0),"")</f>
        <v/>
      </c>
      <c r="I40" s="17" t="n">
        <f aca="false">IF(AND(NOT(ISBLANK(creatives!F41)),NOT(ISNUMBER(MATCH(H40,data!J$2:J$29,0)))),1,0)</f>
        <v>0</v>
      </c>
      <c r="J40" s="17" t="str">
        <f aca="false">IF(NOT(ISBLANK(creatives!E41)),VLOOKUP(creatives!E41,data!M$2:N$38,2,0),"")</f>
        <v/>
      </c>
      <c r="K40" s="17" t="n">
        <f aca="false">IF(NOT(ISNUMBER(MATCH(J40,data!N$2:N$38,0))),1,0)</f>
        <v>1</v>
      </c>
      <c r="L40" s="18" t="str">
        <f aca="false">IF(NOT(ISBLANK(creatives!C41)),VLOOKUP(creatives!C41,data!$A$2:$B$705,2,0),"")</f>
        <v/>
      </c>
      <c r="M40" s="17" t="n">
        <f aca="false">IF(NOT(ISNUMBER(MATCH(L40,data!B$2:B$705,0))),1,0)</f>
        <v>1</v>
      </c>
      <c r="N40" s="19" t="b">
        <f aca="false">IF(NOT(A40),TRUE(),AND(A40,SUM(B40,C40,D40,E40,F40,G40,K40,M40,I40)=0))</f>
        <v>1</v>
      </c>
      <c r="O40" s="20" t="n">
        <v>39</v>
      </c>
      <c r="P40" s="19" t="b">
        <f aca="false">IF(A40,COUNTIF(A$2:A40, CONCATENATE("=", TRUE()))=O40, TRUE())</f>
        <v>1</v>
      </c>
      <c r="Q40" s="1" t="n">
        <f aca="false">IF(A40,O40,0)</f>
        <v>0</v>
      </c>
    </row>
    <row r="41" customFormat="false" ht="15.65" hidden="false" customHeight="false" outlineLevel="0" collapsed="false">
      <c r="A41" s="17" t="b">
        <f aca="false">COUNTIF(creatives!B42:J42, "*")&gt;0</f>
        <v>0</v>
      </c>
      <c r="B41" s="17" t="n">
        <f aca="false">IF(OR(NOT(ISTEXT(creatives!B42)), ISBLANK(creatives!B42), LEN(TRIM(creatives!B42))&gt;200), 1, 0)</f>
        <v>1</v>
      </c>
      <c r="C41" s="17" t="n">
        <f aca="false">IF(NOT(ISNUMBER(MATCH(creatives!D42,data!C$2:C$6,0))),1,0)</f>
        <v>1</v>
      </c>
      <c r="D41" s="17" t="n">
        <f aca="false">IF(OR(LEFT(creatives!G42,7)="http://",LEFT(creatives!G42,8)="https://"), 0, 1)</f>
        <v>1</v>
      </c>
      <c r="E41" s="17" t="n">
        <f aca="false">IF(OR(LEFT(creatives!H42,7)="http://",LEFT(creatives!H42,8)="https://"), 0, 1)</f>
        <v>1</v>
      </c>
      <c r="F41" s="17" t="n">
        <f aca="false">IF(NOT(ISNUMBER(MATCH(creatives!I42,data!G$2:G$6,0))),1,0)</f>
        <v>1</v>
      </c>
      <c r="G41" s="17" t="n">
        <f aca="false">IF(ISBLANK(creatives!J42), 1, 0)</f>
        <v>1</v>
      </c>
      <c r="H41" s="17" t="str">
        <f aca="false">IF(NOT(ISBLANK(creatives!F42)),VLOOKUP(creatives!F42,data!I$2:J$29,2,0),"")</f>
        <v/>
      </c>
      <c r="I41" s="17" t="n">
        <f aca="false">IF(AND(NOT(ISBLANK(creatives!F42)),NOT(ISNUMBER(MATCH(H41,data!J$2:J$29,0)))),1,0)</f>
        <v>0</v>
      </c>
      <c r="J41" s="17" t="str">
        <f aca="false">IF(NOT(ISBLANK(creatives!E42)),VLOOKUP(creatives!E42,data!M$2:N$38,2,0),"")</f>
        <v/>
      </c>
      <c r="K41" s="17" t="n">
        <f aca="false">IF(NOT(ISNUMBER(MATCH(J41,data!N$2:N$38,0))),1,0)</f>
        <v>1</v>
      </c>
      <c r="L41" s="18" t="str">
        <f aca="false">IF(NOT(ISBLANK(creatives!C42)),VLOOKUP(creatives!C42,data!$A$2:$B$705,2,0),"")</f>
        <v/>
      </c>
      <c r="M41" s="17" t="n">
        <f aca="false">IF(NOT(ISNUMBER(MATCH(L41,data!B$2:B$705,0))),1,0)</f>
        <v>1</v>
      </c>
      <c r="N41" s="19" t="b">
        <f aca="false">IF(NOT(A41),TRUE(),AND(A41,SUM(B41,C41,D41,E41,F41,G41,K41,M41,I41)=0))</f>
        <v>1</v>
      </c>
      <c r="O41" s="20" t="n">
        <v>40</v>
      </c>
      <c r="P41" s="19" t="b">
        <f aca="false">IF(A41,COUNTIF(A$2:A41, CONCATENATE("=", TRUE()))=O41, TRUE())</f>
        <v>1</v>
      </c>
      <c r="Q41" s="1" t="n">
        <f aca="false">IF(A41,O41,0)</f>
        <v>0</v>
      </c>
    </row>
    <row r="42" customFormat="false" ht="15.65" hidden="false" customHeight="false" outlineLevel="0" collapsed="false">
      <c r="A42" s="17" t="b">
        <f aca="false">COUNTIF(creatives!B43:J43, "*")&gt;0</f>
        <v>0</v>
      </c>
      <c r="B42" s="17" t="n">
        <f aca="false">IF(OR(NOT(ISTEXT(creatives!B43)), ISBLANK(creatives!B43), LEN(TRIM(creatives!B43))&gt;200), 1, 0)</f>
        <v>1</v>
      </c>
      <c r="C42" s="17" t="n">
        <f aca="false">IF(NOT(ISNUMBER(MATCH(creatives!D43,data!C$2:C$6,0))),1,0)</f>
        <v>1</v>
      </c>
      <c r="D42" s="17" t="n">
        <f aca="false">IF(OR(LEFT(creatives!G43,7)="http://",LEFT(creatives!G43,8)="https://"), 0, 1)</f>
        <v>1</v>
      </c>
      <c r="E42" s="17" t="n">
        <f aca="false">IF(OR(LEFT(creatives!H43,7)="http://",LEFT(creatives!H43,8)="https://"), 0, 1)</f>
        <v>1</v>
      </c>
      <c r="F42" s="17" t="n">
        <f aca="false">IF(NOT(ISNUMBER(MATCH(creatives!I43,data!G$2:G$6,0))),1,0)</f>
        <v>1</v>
      </c>
      <c r="G42" s="17" t="n">
        <f aca="false">IF(ISBLANK(creatives!J43), 1, 0)</f>
        <v>1</v>
      </c>
      <c r="H42" s="17" t="str">
        <f aca="false">IF(NOT(ISBLANK(creatives!F43)),VLOOKUP(creatives!F43,data!I$2:J$29,2,0),"")</f>
        <v/>
      </c>
      <c r="I42" s="17" t="n">
        <f aca="false">IF(AND(NOT(ISBLANK(creatives!F43)),NOT(ISNUMBER(MATCH(H42,data!J$2:J$29,0)))),1,0)</f>
        <v>0</v>
      </c>
      <c r="J42" s="17" t="str">
        <f aca="false">IF(NOT(ISBLANK(creatives!E43)),VLOOKUP(creatives!E43,data!M$2:N$38,2,0),"")</f>
        <v/>
      </c>
      <c r="K42" s="17" t="n">
        <f aca="false">IF(NOT(ISNUMBER(MATCH(J42,data!N$2:N$38,0))),1,0)</f>
        <v>1</v>
      </c>
      <c r="L42" s="18" t="str">
        <f aca="false">IF(NOT(ISBLANK(creatives!C43)),VLOOKUP(creatives!C43,data!$A$2:$B$705,2,0),"")</f>
        <v/>
      </c>
      <c r="M42" s="17" t="n">
        <f aca="false">IF(NOT(ISNUMBER(MATCH(L42,data!B$2:B$705,0))),1,0)</f>
        <v>1</v>
      </c>
      <c r="N42" s="19" t="b">
        <f aca="false">IF(NOT(A42),TRUE(),AND(A42,SUM(B42,C42,D42,E42,F42,G42,K42,M42,I42)=0))</f>
        <v>1</v>
      </c>
      <c r="O42" s="20" t="n">
        <v>41</v>
      </c>
      <c r="P42" s="19" t="b">
        <f aca="false">IF(A42,COUNTIF(A$2:A42, CONCATENATE("=", TRUE()))=O42, TRUE())</f>
        <v>1</v>
      </c>
      <c r="Q42" s="1" t="n">
        <f aca="false">IF(A42,O42,0)</f>
        <v>0</v>
      </c>
    </row>
    <row r="43" customFormat="false" ht="15.65" hidden="false" customHeight="false" outlineLevel="0" collapsed="false">
      <c r="A43" s="17" t="b">
        <f aca="false">COUNTIF(creatives!B44:J44, "*")&gt;0</f>
        <v>0</v>
      </c>
      <c r="B43" s="17" t="n">
        <f aca="false">IF(OR(NOT(ISTEXT(creatives!B44)), ISBLANK(creatives!B44), LEN(TRIM(creatives!B44))&gt;200), 1, 0)</f>
        <v>1</v>
      </c>
      <c r="C43" s="17" t="n">
        <f aca="false">IF(NOT(ISNUMBER(MATCH(creatives!D44,data!C$2:C$6,0))),1,0)</f>
        <v>1</v>
      </c>
      <c r="D43" s="17" t="n">
        <f aca="false">IF(OR(LEFT(creatives!G44,7)="http://",LEFT(creatives!G44,8)="https://"), 0, 1)</f>
        <v>1</v>
      </c>
      <c r="E43" s="17" t="n">
        <f aca="false">IF(OR(LEFT(creatives!H44,7)="http://",LEFT(creatives!H44,8)="https://"), 0, 1)</f>
        <v>1</v>
      </c>
      <c r="F43" s="17" t="n">
        <f aca="false">IF(NOT(ISNUMBER(MATCH(creatives!I44,data!G$2:G$6,0))),1,0)</f>
        <v>1</v>
      </c>
      <c r="G43" s="17" t="n">
        <f aca="false">IF(ISBLANK(creatives!J44), 1, 0)</f>
        <v>1</v>
      </c>
      <c r="H43" s="17" t="str">
        <f aca="false">IF(NOT(ISBLANK(creatives!F44)),VLOOKUP(creatives!F44,data!I$2:J$29,2,0),"")</f>
        <v/>
      </c>
      <c r="I43" s="17" t="n">
        <f aca="false">IF(AND(NOT(ISBLANK(creatives!F44)),NOT(ISNUMBER(MATCH(H43,data!J$2:J$29,0)))),1,0)</f>
        <v>0</v>
      </c>
      <c r="J43" s="17" t="str">
        <f aca="false">IF(NOT(ISBLANK(creatives!E44)),VLOOKUP(creatives!E44,data!M$2:N$38,2,0),"")</f>
        <v/>
      </c>
      <c r="K43" s="17" t="n">
        <f aca="false">IF(NOT(ISNUMBER(MATCH(J43,data!N$2:N$38,0))),1,0)</f>
        <v>1</v>
      </c>
      <c r="L43" s="18" t="str">
        <f aca="false">IF(NOT(ISBLANK(creatives!C44)),VLOOKUP(creatives!C44,data!$A$2:$B$705,2,0),"")</f>
        <v/>
      </c>
      <c r="M43" s="17" t="n">
        <f aca="false">IF(NOT(ISNUMBER(MATCH(L43,data!B$2:B$705,0))),1,0)</f>
        <v>1</v>
      </c>
      <c r="N43" s="19" t="b">
        <f aca="false">IF(NOT(A43),TRUE(),AND(A43,SUM(B43,C43,D43,E43,F43,G43,K43,M43,I43)=0))</f>
        <v>1</v>
      </c>
      <c r="O43" s="20" t="n">
        <v>42</v>
      </c>
      <c r="P43" s="19" t="b">
        <f aca="false">IF(A43,COUNTIF(A$2:A43, CONCATENATE("=", TRUE()))=O43, TRUE())</f>
        <v>1</v>
      </c>
      <c r="Q43" s="1" t="n">
        <f aca="false">IF(A43,O43,0)</f>
        <v>0</v>
      </c>
    </row>
    <row r="44" customFormat="false" ht="15.65" hidden="false" customHeight="false" outlineLevel="0" collapsed="false">
      <c r="A44" s="17" t="b">
        <f aca="false">COUNTIF(creatives!B45:J45, "*")&gt;0</f>
        <v>0</v>
      </c>
      <c r="B44" s="17" t="n">
        <f aca="false">IF(OR(NOT(ISTEXT(creatives!B45)), ISBLANK(creatives!B45), LEN(TRIM(creatives!B45))&gt;200), 1, 0)</f>
        <v>1</v>
      </c>
      <c r="C44" s="17" t="n">
        <f aca="false">IF(NOT(ISNUMBER(MATCH(creatives!D45,data!C$2:C$6,0))),1,0)</f>
        <v>1</v>
      </c>
      <c r="D44" s="17" t="n">
        <f aca="false">IF(OR(LEFT(creatives!G45,7)="http://",LEFT(creatives!G45,8)="https://"), 0, 1)</f>
        <v>1</v>
      </c>
      <c r="E44" s="17" t="n">
        <f aca="false">IF(OR(LEFT(creatives!H45,7)="http://",LEFT(creatives!H45,8)="https://"), 0, 1)</f>
        <v>1</v>
      </c>
      <c r="F44" s="17" t="n">
        <f aca="false">IF(NOT(ISNUMBER(MATCH(creatives!I45,data!G$2:G$6,0))),1,0)</f>
        <v>1</v>
      </c>
      <c r="G44" s="17" t="n">
        <f aca="false">IF(ISBLANK(creatives!J45), 1, 0)</f>
        <v>1</v>
      </c>
      <c r="H44" s="17" t="str">
        <f aca="false">IF(NOT(ISBLANK(creatives!F45)),VLOOKUP(creatives!F45,data!I$2:J$29,2,0),"")</f>
        <v/>
      </c>
      <c r="I44" s="17" t="n">
        <f aca="false">IF(AND(NOT(ISBLANK(creatives!F45)),NOT(ISNUMBER(MATCH(H44,data!J$2:J$29,0)))),1,0)</f>
        <v>0</v>
      </c>
      <c r="J44" s="17" t="str">
        <f aca="false">IF(NOT(ISBLANK(creatives!E45)),VLOOKUP(creatives!E45,data!M$2:N$38,2,0),"")</f>
        <v/>
      </c>
      <c r="K44" s="17" t="n">
        <f aca="false">IF(NOT(ISNUMBER(MATCH(J44,data!N$2:N$38,0))),1,0)</f>
        <v>1</v>
      </c>
      <c r="L44" s="18" t="str">
        <f aca="false">IF(NOT(ISBLANK(creatives!C45)),VLOOKUP(creatives!C45,data!$A$2:$B$705,2,0),"")</f>
        <v/>
      </c>
      <c r="M44" s="17" t="n">
        <f aca="false">IF(NOT(ISNUMBER(MATCH(L44,data!B$2:B$705,0))),1,0)</f>
        <v>1</v>
      </c>
      <c r="N44" s="19" t="b">
        <f aca="false">IF(NOT(A44),TRUE(),AND(A44,SUM(B44,C44,D44,E44,F44,G44,K44,M44,I44)=0))</f>
        <v>1</v>
      </c>
      <c r="O44" s="20" t="n">
        <v>43</v>
      </c>
      <c r="P44" s="19" t="b">
        <f aca="false">IF(A44,COUNTIF(A$2:A44, CONCATENATE("=", TRUE()))=O44, TRUE())</f>
        <v>1</v>
      </c>
      <c r="Q44" s="1" t="n">
        <f aca="false">IF(A44,O44,0)</f>
        <v>0</v>
      </c>
    </row>
    <row r="45" customFormat="false" ht="15.65" hidden="false" customHeight="false" outlineLevel="0" collapsed="false">
      <c r="A45" s="17" t="b">
        <f aca="false">COUNTIF(creatives!B46:J46, "*")&gt;0</f>
        <v>0</v>
      </c>
      <c r="B45" s="17" t="n">
        <f aca="false">IF(OR(NOT(ISTEXT(creatives!B46)), ISBLANK(creatives!B46), LEN(TRIM(creatives!B46))&gt;200), 1, 0)</f>
        <v>1</v>
      </c>
      <c r="C45" s="17" t="n">
        <f aca="false">IF(NOT(ISNUMBER(MATCH(creatives!D46,data!C$2:C$6,0))),1,0)</f>
        <v>1</v>
      </c>
      <c r="D45" s="17" t="n">
        <f aca="false">IF(OR(LEFT(creatives!G46,7)="http://",LEFT(creatives!G46,8)="https://"), 0, 1)</f>
        <v>1</v>
      </c>
      <c r="E45" s="17" t="n">
        <f aca="false">IF(OR(LEFT(creatives!H46,7)="http://",LEFT(creatives!H46,8)="https://"), 0, 1)</f>
        <v>1</v>
      </c>
      <c r="F45" s="17" t="n">
        <f aca="false">IF(NOT(ISNUMBER(MATCH(creatives!I46,data!G$2:G$6,0))),1,0)</f>
        <v>1</v>
      </c>
      <c r="G45" s="17" t="n">
        <f aca="false">IF(ISBLANK(creatives!J46), 1, 0)</f>
        <v>1</v>
      </c>
      <c r="H45" s="17" t="str">
        <f aca="false">IF(NOT(ISBLANK(creatives!F46)),VLOOKUP(creatives!F46,data!I$2:J$29,2,0),"")</f>
        <v/>
      </c>
      <c r="I45" s="17" t="n">
        <f aca="false">IF(AND(NOT(ISBLANK(creatives!F46)),NOT(ISNUMBER(MATCH(H45,data!J$2:J$29,0)))),1,0)</f>
        <v>0</v>
      </c>
      <c r="J45" s="17" t="str">
        <f aca="false">IF(NOT(ISBLANK(creatives!E46)),VLOOKUP(creatives!E46,data!M$2:N$38,2,0),"")</f>
        <v/>
      </c>
      <c r="K45" s="17" t="n">
        <f aca="false">IF(NOT(ISNUMBER(MATCH(J45,data!N$2:N$38,0))),1,0)</f>
        <v>1</v>
      </c>
      <c r="L45" s="18" t="str">
        <f aca="false">IF(NOT(ISBLANK(creatives!C46)),VLOOKUP(creatives!C46,data!$A$2:$B$705,2,0),"")</f>
        <v/>
      </c>
      <c r="M45" s="17" t="n">
        <f aca="false">IF(NOT(ISNUMBER(MATCH(L45,data!B$2:B$705,0))),1,0)</f>
        <v>1</v>
      </c>
      <c r="N45" s="19" t="b">
        <f aca="false">IF(NOT(A45),TRUE(),AND(A45,SUM(B45,C45,D45,E45,F45,G45,K45,M45,I45)=0))</f>
        <v>1</v>
      </c>
      <c r="O45" s="20" t="n">
        <v>44</v>
      </c>
      <c r="P45" s="19" t="b">
        <f aca="false">IF(A45,COUNTIF(A$2:A45, CONCATENATE("=", TRUE()))=O45, TRUE())</f>
        <v>1</v>
      </c>
      <c r="Q45" s="1" t="n">
        <f aca="false">IF(A45,O45,0)</f>
        <v>0</v>
      </c>
    </row>
    <row r="46" customFormat="false" ht="15.65" hidden="false" customHeight="false" outlineLevel="0" collapsed="false">
      <c r="A46" s="17" t="b">
        <f aca="false">COUNTIF(creatives!B47:J47, "*")&gt;0</f>
        <v>0</v>
      </c>
      <c r="B46" s="17" t="n">
        <f aca="false">IF(OR(NOT(ISTEXT(creatives!B47)), ISBLANK(creatives!B47), LEN(TRIM(creatives!B47))&gt;200), 1, 0)</f>
        <v>1</v>
      </c>
      <c r="C46" s="17" t="n">
        <f aca="false">IF(NOT(ISNUMBER(MATCH(creatives!D47,data!C$2:C$6,0))),1,0)</f>
        <v>1</v>
      </c>
      <c r="D46" s="17" t="n">
        <f aca="false">IF(OR(LEFT(creatives!G47,7)="http://",LEFT(creatives!G47,8)="https://"), 0, 1)</f>
        <v>1</v>
      </c>
      <c r="E46" s="17" t="n">
        <f aca="false">IF(OR(LEFT(creatives!H47,7)="http://",LEFT(creatives!H47,8)="https://"), 0, 1)</f>
        <v>1</v>
      </c>
      <c r="F46" s="17" t="n">
        <f aca="false">IF(NOT(ISNUMBER(MATCH(creatives!I47,data!G$2:G$6,0))),1,0)</f>
        <v>1</v>
      </c>
      <c r="G46" s="17" t="n">
        <f aca="false">IF(ISBLANK(creatives!J47), 1, 0)</f>
        <v>1</v>
      </c>
      <c r="H46" s="17" t="str">
        <f aca="false">IF(NOT(ISBLANK(creatives!F47)),VLOOKUP(creatives!F47,data!I$2:J$29,2,0),"")</f>
        <v/>
      </c>
      <c r="I46" s="17" t="n">
        <f aca="false">IF(AND(NOT(ISBLANK(creatives!F47)),NOT(ISNUMBER(MATCH(H46,data!J$2:J$29,0)))),1,0)</f>
        <v>0</v>
      </c>
      <c r="J46" s="17" t="str">
        <f aca="false">IF(NOT(ISBLANK(creatives!E47)),VLOOKUP(creatives!E47,data!M$2:N$38,2,0),"")</f>
        <v/>
      </c>
      <c r="K46" s="17" t="n">
        <f aca="false">IF(NOT(ISNUMBER(MATCH(J46,data!N$2:N$38,0))),1,0)</f>
        <v>1</v>
      </c>
      <c r="L46" s="18" t="str">
        <f aca="false">IF(NOT(ISBLANK(creatives!C47)),VLOOKUP(creatives!C47,data!$A$2:$B$705,2,0),"")</f>
        <v/>
      </c>
      <c r="M46" s="17" t="n">
        <f aca="false">IF(NOT(ISNUMBER(MATCH(L46,data!B$2:B$705,0))),1,0)</f>
        <v>1</v>
      </c>
      <c r="N46" s="19" t="b">
        <f aca="false">IF(NOT(A46),TRUE(),AND(A46,SUM(B46,C46,D46,E46,F46,G46,K46,M46,I46)=0))</f>
        <v>1</v>
      </c>
      <c r="O46" s="20" t="n">
        <v>45</v>
      </c>
      <c r="P46" s="19" t="b">
        <f aca="false">IF(A46,COUNTIF(A$2:A46, CONCATENATE("=", TRUE()))=O46, TRUE())</f>
        <v>1</v>
      </c>
      <c r="Q46" s="1" t="n">
        <f aca="false">IF(A46,O46,0)</f>
        <v>0</v>
      </c>
    </row>
    <row r="47" customFormat="false" ht="15.65" hidden="false" customHeight="false" outlineLevel="0" collapsed="false">
      <c r="A47" s="17" t="b">
        <f aca="false">COUNTIF(creatives!B48:J48, "*")&gt;0</f>
        <v>0</v>
      </c>
      <c r="B47" s="17" t="n">
        <f aca="false">IF(OR(NOT(ISTEXT(creatives!B48)), ISBLANK(creatives!B48), LEN(TRIM(creatives!B48))&gt;200), 1, 0)</f>
        <v>1</v>
      </c>
      <c r="C47" s="17" t="n">
        <f aca="false">IF(NOT(ISNUMBER(MATCH(creatives!D48,data!C$2:C$6,0))),1,0)</f>
        <v>1</v>
      </c>
      <c r="D47" s="17" t="n">
        <f aca="false">IF(OR(LEFT(creatives!G48,7)="http://",LEFT(creatives!G48,8)="https://"), 0, 1)</f>
        <v>1</v>
      </c>
      <c r="E47" s="17" t="n">
        <f aca="false">IF(OR(LEFT(creatives!H48,7)="http://",LEFT(creatives!H48,8)="https://"), 0, 1)</f>
        <v>1</v>
      </c>
      <c r="F47" s="17" t="n">
        <f aca="false">IF(NOT(ISNUMBER(MATCH(creatives!I48,data!G$2:G$6,0))),1,0)</f>
        <v>1</v>
      </c>
      <c r="G47" s="17" t="n">
        <f aca="false">IF(ISBLANK(creatives!J48), 1, 0)</f>
        <v>1</v>
      </c>
      <c r="H47" s="17" t="str">
        <f aca="false">IF(NOT(ISBLANK(creatives!F48)),VLOOKUP(creatives!F48,data!I$2:J$29,2,0),"")</f>
        <v/>
      </c>
      <c r="I47" s="17" t="n">
        <f aca="false">IF(AND(NOT(ISBLANK(creatives!F48)),NOT(ISNUMBER(MATCH(H47,data!J$2:J$29,0)))),1,0)</f>
        <v>0</v>
      </c>
      <c r="J47" s="17" t="str">
        <f aca="false">IF(NOT(ISBLANK(creatives!E48)),VLOOKUP(creatives!E48,data!M$2:N$38,2,0),"")</f>
        <v/>
      </c>
      <c r="K47" s="17" t="n">
        <f aca="false">IF(NOT(ISNUMBER(MATCH(J47,data!N$2:N$38,0))),1,0)</f>
        <v>1</v>
      </c>
      <c r="L47" s="18" t="str">
        <f aca="false">IF(NOT(ISBLANK(creatives!C48)),VLOOKUP(creatives!C48,data!$A$2:$B$705,2,0),"")</f>
        <v/>
      </c>
      <c r="M47" s="17" t="n">
        <f aca="false">IF(NOT(ISNUMBER(MATCH(L47,data!B$2:B$705,0))),1,0)</f>
        <v>1</v>
      </c>
      <c r="N47" s="19" t="b">
        <f aca="false">IF(NOT(A47),TRUE(),AND(A47,SUM(B47,C47,D47,E47,F47,G47,K47,M47,I47)=0))</f>
        <v>1</v>
      </c>
      <c r="O47" s="20" t="n">
        <v>46</v>
      </c>
      <c r="P47" s="19" t="b">
        <f aca="false">IF(A47,COUNTIF(A$2:A47, CONCATENATE("=", TRUE()))=O47, TRUE())</f>
        <v>1</v>
      </c>
      <c r="Q47" s="1" t="n">
        <f aca="false">IF(A47,O47,0)</f>
        <v>0</v>
      </c>
    </row>
    <row r="48" customFormat="false" ht="15.65" hidden="false" customHeight="false" outlineLevel="0" collapsed="false">
      <c r="A48" s="17" t="b">
        <f aca="false">COUNTIF(creatives!B49:J49, "*")&gt;0</f>
        <v>0</v>
      </c>
      <c r="B48" s="17" t="n">
        <f aca="false">IF(OR(NOT(ISTEXT(creatives!B49)), ISBLANK(creatives!B49), LEN(TRIM(creatives!B49))&gt;200), 1, 0)</f>
        <v>1</v>
      </c>
      <c r="C48" s="17" t="n">
        <f aca="false">IF(NOT(ISNUMBER(MATCH(creatives!D49,data!C$2:C$6,0))),1,0)</f>
        <v>1</v>
      </c>
      <c r="D48" s="17" t="n">
        <f aca="false">IF(OR(LEFT(creatives!G49,7)="http://",LEFT(creatives!G49,8)="https://"), 0, 1)</f>
        <v>1</v>
      </c>
      <c r="E48" s="17" t="n">
        <f aca="false">IF(OR(LEFT(creatives!H49,7)="http://",LEFT(creatives!H49,8)="https://"), 0, 1)</f>
        <v>1</v>
      </c>
      <c r="F48" s="17" t="n">
        <f aca="false">IF(NOT(ISNUMBER(MATCH(creatives!I49,data!G$2:G$6,0))),1,0)</f>
        <v>1</v>
      </c>
      <c r="G48" s="17" t="n">
        <f aca="false">IF(ISBLANK(creatives!J49), 1, 0)</f>
        <v>1</v>
      </c>
      <c r="H48" s="17" t="str">
        <f aca="false">IF(NOT(ISBLANK(creatives!F49)),VLOOKUP(creatives!F49,data!I$2:J$29,2,0),"")</f>
        <v/>
      </c>
      <c r="I48" s="17" t="n">
        <f aca="false">IF(AND(NOT(ISBLANK(creatives!F49)),NOT(ISNUMBER(MATCH(H48,data!J$2:J$29,0)))),1,0)</f>
        <v>0</v>
      </c>
      <c r="J48" s="17" t="str">
        <f aca="false">IF(NOT(ISBLANK(creatives!E49)),VLOOKUP(creatives!E49,data!M$2:N$38,2,0),"")</f>
        <v/>
      </c>
      <c r="K48" s="17" t="n">
        <f aca="false">IF(NOT(ISNUMBER(MATCH(J48,data!N$2:N$38,0))),1,0)</f>
        <v>1</v>
      </c>
      <c r="L48" s="18" t="str">
        <f aca="false">IF(NOT(ISBLANK(creatives!C49)),VLOOKUP(creatives!C49,data!$A$2:$B$705,2,0),"")</f>
        <v/>
      </c>
      <c r="M48" s="17" t="n">
        <f aca="false">IF(NOT(ISNUMBER(MATCH(L48,data!B$2:B$705,0))),1,0)</f>
        <v>1</v>
      </c>
      <c r="N48" s="19" t="b">
        <f aca="false">IF(NOT(A48),TRUE(),AND(A48,SUM(B48,C48,D48,E48,F48,G48,K48,M48,I48)=0))</f>
        <v>1</v>
      </c>
      <c r="O48" s="20" t="n">
        <v>47</v>
      </c>
      <c r="P48" s="19" t="b">
        <f aca="false">IF(A48,COUNTIF(A$2:A48, CONCATENATE("=", TRUE()))=O48, TRUE())</f>
        <v>1</v>
      </c>
      <c r="Q48" s="1" t="n">
        <f aca="false">IF(A48,O48,0)</f>
        <v>0</v>
      </c>
    </row>
    <row r="49" customFormat="false" ht="15.65" hidden="false" customHeight="false" outlineLevel="0" collapsed="false">
      <c r="A49" s="17" t="b">
        <f aca="false">COUNTIF(creatives!B50:J50, "*")&gt;0</f>
        <v>0</v>
      </c>
      <c r="B49" s="17" t="n">
        <f aca="false">IF(OR(NOT(ISTEXT(creatives!B50)), ISBLANK(creatives!B50), LEN(TRIM(creatives!B50))&gt;200), 1, 0)</f>
        <v>1</v>
      </c>
      <c r="C49" s="17" t="n">
        <f aca="false">IF(NOT(ISNUMBER(MATCH(creatives!D50,data!C$2:C$6,0))),1,0)</f>
        <v>1</v>
      </c>
      <c r="D49" s="17" t="n">
        <f aca="false">IF(OR(LEFT(creatives!G50,7)="http://",LEFT(creatives!G50,8)="https://"), 0, 1)</f>
        <v>1</v>
      </c>
      <c r="E49" s="17" t="n">
        <f aca="false">IF(OR(LEFT(creatives!H50,7)="http://",LEFT(creatives!H50,8)="https://"), 0, 1)</f>
        <v>1</v>
      </c>
      <c r="F49" s="17" t="n">
        <f aca="false">IF(NOT(ISNUMBER(MATCH(creatives!I50,data!G$2:G$6,0))),1,0)</f>
        <v>1</v>
      </c>
      <c r="G49" s="17" t="n">
        <f aca="false">IF(ISBLANK(creatives!J50), 1, 0)</f>
        <v>1</v>
      </c>
      <c r="H49" s="17" t="str">
        <f aca="false">IF(NOT(ISBLANK(creatives!F50)),VLOOKUP(creatives!F50,data!I$2:J$29,2,0),"")</f>
        <v/>
      </c>
      <c r="I49" s="17" t="n">
        <f aca="false">IF(AND(NOT(ISBLANK(creatives!F50)),NOT(ISNUMBER(MATCH(H49,data!J$2:J$29,0)))),1,0)</f>
        <v>0</v>
      </c>
      <c r="J49" s="17" t="str">
        <f aca="false">IF(NOT(ISBLANK(creatives!E50)),VLOOKUP(creatives!E50,data!M$2:N$38,2,0),"")</f>
        <v/>
      </c>
      <c r="K49" s="17" t="n">
        <f aca="false">IF(NOT(ISNUMBER(MATCH(J49,data!N$2:N$38,0))),1,0)</f>
        <v>1</v>
      </c>
      <c r="L49" s="18" t="str">
        <f aca="false">IF(NOT(ISBLANK(creatives!C50)),VLOOKUP(creatives!C50,data!$A$2:$B$705,2,0),"")</f>
        <v/>
      </c>
      <c r="M49" s="17" t="n">
        <f aca="false">IF(NOT(ISNUMBER(MATCH(L49,data!B$2:B$705,0))),1,0)</f>
        <v>1</v>
      </c>
      <c r="N49" s="19" t="b">
        <f aca="false">IF(NOT(A49),TRUE(),AND(A49,SUM(B49,C49,D49,E49,F49,G49,K49,M49,I49)=0))</f>
        <v>1</v>
      </c>
      <c r="O49" s="20" t="n">
        <v>48</v>
      </c>
      <c r="P49" s="19" t="b">
        <f aca="false">IF(A49,COUNTIF(A$2:A49, CONCATENATE("=", TRUE()))=O49, TRUE())</f>
        <v>1</v>
      </c>
      <c r="Q49" s="1" t="n">
        <f aca="false">IF(A49,O49,0)</f>
        <v>0</v>
      </c>
    </row>
    <row r="50" customFormat="false" ht="15.65" hidden="false" customHeight="false" outlineLevel="0" collapsed="false">
      <c r="A50" s="17" t="b">
        <f aca="false">COUNTIF(creatives!B51:J51, "*")&gt;0</f>
        <v>0</v>
      </c>
      <c r="B50" s="17" t="n">
        <f aca="false">IF(OR(NOT(ISTEXT(creatives!B51)), ISBLANK(creatives!B51), LEN(TRIM(creatives!B51))&gt;200), 1, 0)</f>
        <v>1</v>
      </c>
      <c r="C50" s="17" t="n">
        <f aca="false">IF(NOT(ISNUMBER(MATCH(creatives!D51,data!C$2:C$6,0))),1,0)</f>
        <v>1</v>
      </c>
      <c r="D50" s="17" t="n">
        <f aca="false">IF(OR(LEFT(creatives!G51,7)="http://",LEFT(creatives!G51,8)="https://"), 0, 1)</f>
        <v>1</v>
      </c>
      <c r="E50" s="17" t="n">
        <f aca="false">IF(OR(LEFT(creatives!H51,7)="http://",LEFT(creatives!H51,8)="https://"), 0, 1)</f>
        <v>1</v>
      </c>
      <c r="F50" s="17" t="n">
        <f aca="false">IF(NOT(ISNUMBER(MATCH(creatives!I51,data!G$2:G$6,0))),1,0)</f>
        <v>1</v>
      </c>
      <c r="G50" s="17" t="n">
        <f aca="false">IF(ISBLANK(creatives!J51), 1, 0)</f>
        <v>1</v>
      </c>
      <c r="H50" s="17" t="str">
        <f aca="false">IF(NOT(ISBLANK(creatives!F51)),VLOOKUP(creatives!F51,data!I$2:J$29,2,0),"")</f>
        <v/>
      </c>
      <c r="I50" s="17" t="n">
        <f aca="false">IF(AND(NOT(ISBLANK(creatives!F51)),NOT(ISNUMBER(MATCH(H50,data!J$2:J$29,0)))),1,0)</f>
        <v>0</v>
      </c>
      <c r="J50" s="17" t="str">
        <f aca="false">IF(NOT(ISBLANK(creatives!E51)),VLOOKUP(creatives!E51,data!M$2:N$38,2,0),"")</f>
        <v/>
      </c>
      <c r="K50" s="17" t="n">
        <f aca="false">IF(NOT(ISNUMBER(MATCH(J50,data!N$2:N$38,0))),1,0)</f>
        <v>1</v>
      </c>
      <c r="L50" s="18" t="str">
        <f aca="false">IF(NOT(ISBLANK(creatives!C51)),VLOOKUP(creatives!C51,data!$A$2:$B$705,2,0),"")</f>
        <v/>
      </c>
      <c r="M50" s="17" t="n">
        <f aca="false">IF(NOT(ISNUMBER(MATCH(L50,data!B$2:B$705,0))),1,0)</f>
        <v>1</v>
      </c>
      <c r="N50" s="19" t="b">
        <f aca="false">IF(NOT(A50),TRUE(),AND(A50,SUM(B50,C50,D50,E50,F50,G50,K50,M50,I50)=0))</f>
        <v>1</v>
      </c>
      <c r="O50" s="20" t="n">
        <v>49</v>
      </c>
      <c r="P50" s="19" t="b">
        <f aca="false">IF(A50,COUNTIF(A$2:A50, CONCATENATE("=", TRUE()))=O50, TRUE())</f>
        <v>1</v>
      </c>
      <c r="Q50" s="1" t="n">
        <f aca="false">IF(A50,O50,0)</f>
        <v>0</v>
      </c>
    </row>
    <row r="51" customFormat="false" ht="15.65" hidden="false" customHeight="false" outlineLevel="0" collapsed="false">
      <c r="A51" s="17" t="b">
        <f aca="false">COUNTIF(creatives!B52:J52, "*")&gt;0</f>
        <v>0</v>
      </c>
      <c r="B51" s="17" t="n">
        <f aca="false">IF(OR(NOT(ISTEXT(creatives!B52)), ISBLANK(creatives!B52), LEN(TRIM(creatives!B52))&gt;200), 1, 0)</f>
        <v>1</v>
      </c>
      <c r="C51" s="17" t="n">
        <f aca="false">IF(NOT(ISNUMBER(MATCH(creatives!D52,data!C$2:C$6,0))),1,0)</f>
        <v>1</v>
      </c>
      <c r="D51" s="17" t="n">
        <f aca="false">IF(OR(LEFT(creatives!G52,7)="http://",LEFT(creatives!G52,8)="https://"), 0, 1)</f>
        <v>1</v>
      </c>
      <c r="E51" s="17" t="n">
        <f aca="false">IF(OR(LEFT(creatives!H52,7)="http://",LEFT(creatives!H52,8)="https://"), 0, 1)</f>
        <v>1</v>
      </c>
      <c r="F51" s="17" t="n">
        <f aca="false">IF(NOT(ISNUMBER(MATCH(creatives!I52,data!G$2:G$6,0))),1,0)</f>
        <v>1</v>
      </c>
      <c r="G51" s="17" t="n">
        <f aca="false">IF(ISBLANK(creatives!J52), 1, 0)</f>
        <v>1</v>
      </c>
      <c r="H51" s="17" t="str">
        <f aca="false">IF(NOT(ISBLANK(creatives!F52)),VLOOKUP(creatives!F52,data!I$2:J$29,2,0),"")</f>
        <v/>
      </c>
      <c r="I51" s="17" t="n">
        <f aca="false">IF(AND(NOT(ISBLANK(creatives!F52)),NOT(ISNUMBER(MATCH(H51,data!J$2:J$29,0)))),1,0)</f>
        <v>0</v>
      </c>
      <c r="J51" s="17" t="str">
        <f aca="false">IF(NOT(ISBLANK(creatives!E52)),VLOOKUP(creatives!E52,data!M$2:N$38,2,0),"")</f>
        <v/>
      </c>
      <c r="K51" s="17" t="n">
        <f aca="false">IF(NOT(ISNUMBER(MATCH(J51,data!N$2:N$38,0))),1,0)</f>
        <v>1</v>
      </c>
      <c r="L51" s="18" t="str">
        <f aca="false">IF(NOT(ISBLANK(creatives!C52)),VLOOKUP(creatives!C52,data!$A$2:$B$705,2,0),"")</f>
        <v/>
      </c>
      <c r="M51" s="17" t="n">
        <f aca="false">IF(NOT(ISNUMBER(MATCH(L51,data!B$2:B$705,0))),1,0)</f>
        <v>1</v>
      </c>
      <c r="N51" s="19" t="b">
        <f aca="false">IF(NOT(A51),TRUE(),AND(A51,SUM(B51,C51,D51,E51,F51,G51,K51,M51,I51)=0))</f>
        <v>1</v>
      </c>
      <c r="O51" s="20" t="n">
        <v>50</v>
      </c>
      <c r="P51" s="19" t="b">
        <f aca="false">IF(A51,COUNTIF(A$2:A51, CONCATENATE("=", TRUE()))=O51, TRUE())</f>
        <v>1</v>
      </c>
      <c r="Q51" s="1" t="n">
        <f aca="false">IF(A51,O51,0)</f>
        <v>0</v>
      </c>
    </row>
    <row r="52" customFormat="false" ht="15.65" hidden="false" customHeight="false" outlineLevel="0" collapsed="false">
      <c r="A52" s="17" t="b">
        <f aca="false">COUNTIF(creatives!B53:J53, "*")&gt;0</f>
        <v>0</v>
      </c>
      <c r="B52" s="17" t="n">
        <f aca="false">IF(OR(NOT(ISTEXT(creatives!B53)), ISBLANK(creatives!B53), LEN(TRIM(creatives!B53))&gt;200), 1, 0)</f>
        <v>1</v>
      </c>
      <c r="C52" s="17" t="n">
        <f aca="false">IF(NOT(ISNUMBER(MATCH(creatives!D53,data!C$2:C$6,0))),1,0)</f>
        <v>1</v>
      </c>
      <c r="D52" s="17" t="n">
        <f aca="false">IF(OR(LEFT(creatives!G53,7)="http://",LEFT(creatives!G53,8)="https://"), 0, 1)</f>
        <v>1</v>
      </c>
      <c r="E52" s="17" t="n">
        <f aca="false">IF(OR(LEFT(creatives!H53,7)="http://",LEFT(creatives!H53,8)="https://"), 0, 1)</f>
        <v>1</v>
      </c>
      <c r="F52" s="17" t="n">
        <f aca="false">IF(NOT(ISNUMBER(MATCH(creatives!I53,data!G$2:G$6,0))),1,0)</f>
        <v>1</v>
      </c>
      <c r="G52" s="17" t="n">
        <f aca="false">IF(ISBLANK(creatives!J53), 1, 0)</f>
        <v>1</v>
      </c>
      <c r="H52" s="17" t="str">
        <f aca="false">IF(NOT(ISBLANK(creatives!F53)),VLOOKUP(creatives!F53,data!I$2:J$29,2,0),"")</f>
        <v/>
      </c>
      <c r="I52" s="17" t="n">
        <f aca="false">IF(AND(NOT(ISBLANK(creatives!F53)),NOT(ISNUMBER(MATCH(H52,data!J$2:J$29,0)))),1,0)</f>
        <v>0</v>
      </c>
      <c r="J52" s="17" t="str">
        <f aca="false">IF(NOT(ISBLANK(creatives!E53)),VLOOKUP(creatives!E53,data!M$2:N$38,2,0),"")</f>
        <v/>
      </c>
      <c r="K52" s="17" t="n">
        <f aca="false">IF(NOT(ISNUMBER(MATCH(J52,data!N$2:N$38,0))),1,0)</f>
        <v>1</v>
      </c>
      <c r="L52" s="18" t="str">
        <f aca="false">IF(NOT(ISBLANK(creatives!C53)),VLOOKUP(creatives!C53,data!$A$2:$B$705,2,0),"")</f>
        <v/>
      </c>
      <c r="M52" s="17" t="n">
        <f aca="false">IF(NOT(ISNUMBER(MATCH(L52,data!B$2:B$705,0))),1,0)</f>
        <v>1</v>
      </c>
      <c r="N52" s="19" t="b">
        <f aca="false">IF(NOT(A52),TRUE(),AND(A52,SUM(B52,C52,D52,E52,F52,G52,K52,M52,I52)=0))</f>
        <v>1</v>
      </c>
      <c r="O52" s="20" t="n">
        <v>51</v>
      </c>
      <c r="P52" s="19" t="b">
        <f aca="false">IF(A52,COUNTIF(A$2:A52, CONCATENATE("=", TRUE()))=O52, TRUE())</f>
        <v>1</v>
      </c>
      <c r="Q52" s="1" t="n">
        <f aca="false">IF(A52,O52,0)</f>
        <v>0</v>
      </c>
    </row>
    <row r="53" customFormat="false" ht="15.65" hidden="false" customHeight="false" outlineLevel="0" collapsed="false">
      <c r="A53" s="17" t="b">
        <f aca="false">COUNTIF(creatives!B54:J54, "*")&gt;0</f>
        <v>0</v>
      </c>
      <c r="B53" s="17" t="n">
        <f aca="false">IF(OR(NOT(ISTEXT(creatives!B54)), ISBLANK(creatives!B54), LEN(TRIM(creatives!B54))&gt;200), 1, 0)</f>
        <v>1</v>
      </c>
      <c r="C53" s="17" t="n">
        <f aca="false">IF(NOT(ISNUMBER(MATCH(creatives!D54,data!C$2:C$6,0))),1,0)</f>
        <v>1</v>
      </c>
      <c r="D53" s="17" t="n">
        <f aca="false">IF(OR(LEFT(creatives!G54,7)="http://",LEFT(creatives!G54,8)="https://"), 0, 1)</f>
        <v>1</v>
      </c>
      <c r="E53" s="17" t="n">
        <f aca="false">IF(OR(LEFT(creatives!H54,7)="http://",LEFT(creatives!H54,8)="https://"), 0, 1)</f>
        <v>1</v>
      </c>
      <c r="F53" s="17" t="n">
        <f aca="false">IF(NOT(ISNUMBER(MATCH(creatives!I54,data!G$2:G$6,0))),1,0)</f>
        <v>1</v>
      </c>
      <c r="G53" s="17" t="n">
        <f aca="false">IF(ISBLANK(creatives!J54), 1, 0)</f>
        <v>1</v>
      </c>
      <c r="H53" s="17" t="str">
        <f aca="false">IF(NOT(ISBLANK(creatives!F54)),VLOOKUP(creatives!F54,data!I$2:J$29,2,0),"")</f>
        <v/>
      </c>
      <c r="I53" s="17" t="n">
        <f aca="false">IF(AND(NOT(ISBLANK(creatives!F54)),NOT(ISNUMBER(MATCH(H53,data!J$2:J$29,0)))),1,0)</f>
        <v>0</v>
      </c>
      <c r="J53" s="17" t="str">
        <f aca="false">IF(NOT(ISBLANK(creatives!E54)),VLOOKUP(creatives!E54,data!M$2:N$38,2,0),"")</f>
        <v/>
      </c>
      <c r="K53" s="17" t="n">
        <f aca="false">IF(NOT(ISNUMBER(MATCH(J53,data!N$2:N$38,0))),1,0)</f>
        <v>1</v>
      </c>
      <c r="L53" s="18" t="str">
        <f aca="false">IF(NOT(ISBLANK(creatives!C54)),VLOOKUP(creatives!C54,data!$A$2:$B$705,2,0),"")</f>
        <v/>
      </c>
      <c r="M53" s="17" t="n">
        <f aca="false">IF(NOT(ISNUMBER(MATCH(L53,data!B$2:B$705,0))),1,0)</f>
        <v>1</v>
      </c>
      <c r="N53" s="19" t="b">
        <f aca="false">IF(NOT(A53),TRUE(),AND(A53,SUM(B53,C53,D53,E53,F53,G53,K53,M53,I53)=0))</f>
        <v>1</v>
      </c>
      <c r="O53" s="20" t="n">
        <v>52</v>
      </c>
      <c r="P53" s="19" t="b">
        <f aca="false">IF(A53,COUNTIF(A$2:A53, CONCATENATE("=", TRUE()))=O53, TRUE())</f>
        <v>1</v>
      </c>
      <c r="Q53" s="1" t="n">
        <f aca="false">IF(A53,O53,0)</f>
        <v>0</v>
      </c>
    </row>
    <row r="54" customFormat="false" ht="15.65" hidden="false" customHeight="false" outlineLevel="0" collapsed="false">
      <c r="A54" s="17" t="b">
        <f aca="false">COUNTIF(creatives!B55:J55, "*")&gt;0</f>
        <v>0</v>
      </c>
      <c r="B54" s="17" t="n">
        <f aca="false">IF(OR(NOT(ISTEXT(creatives!B55)), ISBLANK(creatives!B55), LEN(TRIM(creatives!B55))&gt;200), 1, 0)</f>
        <v>1</v>
      </c>
      <c r="C54" s="17" t="n">
        <f aca="false">IF(NOT(ISNUMBER(MATCH(creatives!D55,data!C$2:C$6,0))),1,0)</f>
        <v>1</v>
      </c>
      <c r="D54" s="17" t="n">
        <f aca="false">IF(OR(LEFT(creatives!G55,7)="http://",LEFT(creatives!G55,8)="https://"), 0, 1)</f>
        <v>1</v>
      </c>
      <c r="E54" s="17" t="n">
        <f aca="false">IF(OR(LEFT(creatives!H55,7)="http://",LEFT(creatives!H55,8)="https://"), 0, 1)</f>
        <v>1</v>
      </c>
      <c r="F54" s="17" t="n">
        <f aca="false">IF(NOT(ISNUMBER(MATCH(creatives!I55,data!G$2:G$6,0))),1,0)</f>
        <v>1</v>
      </c>
      <c r="G54" s="17" t="n">
        <f aca="false">IF(ISBLANK(creatives!J55), 1, 0)</f>
        <v>1</v>
      </c>
      <c r="H54" s="17" t="str">
        <f aca="false">IF(NOT(ISBLANK(creatives!F55)),VLOOKUP(creatives!F55,data!I$2:J$29,2,0),"")</f>
        <v/>
      </c>
      <c r="I54" s="17" t="n">
        <f aca="false">IF(AND(NOT(ISBLANK(creatives!F55)),NOT(ISNUMBER(MATCH(H54,data!J$2:J$29,0)))),1,0)</f>
        <v>0</v>
      </c>
      <c r="J54" s="17" t="str">
        <f aca="false">IF(NOT(ISBLANK(creatives!E55)),VLOOKUP(creatives!E55,data!M$2:N$38,2,0),"")</f>
        <v/>
      </c>
      <c r="K54" s="17" t="n">
        <f aca="false">IF(NOT(ISNUMBER(MATCH(J54,data!N$2:N$38,0))),1,0)</f>
        <v>1</v>
      </c>
      <c r="L54" s="18" t="str">
        <f aca="false">IF(NOT(ISBLANK(creatives!C55)),VLOOKUP(creatives!C55,data!$A$2:$B$705,2,0),"")</f>
        <v/>
      </c>
      <c r="M54" s="17" t="n">
        <f aca="false">IF(NOT(ISNUMBER(MATCH(L54,data!B$2:B$705,0))),1,0)</f>
        <v>1</v>
      </c>
      <c r="N54" s="19" t="b">
        <f aca="false">IF(NOT(A54),TRUE(),AND(A54,SUM(B54,C54,D54,E54,F54,G54,K54,M54,I54)=0))</f>
        <v>1</v>
      </c>
      <c r="O54" s="20" t="n">
        <v>53</v>
      </c>
      <c r="P54" s="19" t="b">
        <f aca="false">IF(A54,COUNTIF(A$2:A54, CONCATENATE("=", TRUE()))=O54, TRUE())</f>
        <v>1</v>
      </c>
      <c r="Q54" s="1" t="n">
        <f aca="false">IF(A54,O54,0)</f>
        <v>0</v>
      </c>
    </row>
    <row r="55" customFormat="false" ht="15.65" hidden="false" customHeight="false" outlineLevel="0" collapsed="false">
      <c r="A55" s="17" t="b">
        <f aca="false">COUNTIF(creatives!B56:J56, "*")&gt;0</f>
        <v>0</v>
      </c>
      <c r="B55" s="17" t="n">
        <f aca="false">IF(OR(NOT(ISTEXT(creatives!B56)), ISBLANK(creatives!B56), LEN(TRIM(creatives!B56))&gt;200), 1, 0)</f>
        <v>1</v>
      </c>
      <c r="C55" s="17" t="n">
        <f aca="false">IF(NOT(ISNUMBER(MATCH(creatives!D56,data!C$2:C$6,0))),1,0)</f>
        <v>1</v>
      </c>
      <c r="D55" s="17" t="n">
        <f aca="false">IF(OR(LEFT(creatives!G56,7)="http://",LEFT(creatives!G56,8)="https://"), 0, 1)</f>
        <v>1</v>
      </c>
      <c r="E55" s="17" t="n">
        <f aca="false">IF(OR(LEFT(creatives!H56,7)="http://",LEFT(creatives!H56,8)="https://"), 0, 1)</f>
        <v>1</v>
      </c>
      <c r="F55" s="17" t="n">
        <f aca="false">IF(NOT(ISNUMBER(MATCH(creatives!I56,data!G$2:G$6,0))),1,0)</f>
        <v>1</v>
      </c>
      <c r="G55" s="17" t="n">
        <f aca="false">IF(ISBLANK(creatives!J56), 1, 0)</f>
        <v>1</v>
      </c>
      <c r="H55" s="17" t="str">
        <f aca="false">IF(NOT(ISBLANK(creatives!F56)),VLOOKUP(creatives!F56,data!I$2:J$29,2,0),"")</f>
        <v/>
      </c>
      <c r="I55" s="17" t="n">
        <f aca="false">IF(AND(NOT(ISBLANK(creatives!F56)),NOT(ISNUMBER(MATCH(H55,data!J$2:J$29,0)))),1,0)</f>
        <v>0</v>
      </c>
      <c r="J55" s="17" t="str">
        <f aca="false">IF(NOT(ISBLANK(creatives!E56)),VLOOKUP(creatives!E56,data!M$2:N$38,2,0),"")</f>
        <v/>
      </c>
      <c r="K55" s="17" t="n">
        <f aca="false">IF(NOT(ISNUMBER(MATCH(J55,data!N$2:N$38,0))),1,0)</f>
        <v>1</v>
      </c>
      <c r="L55" s="18" t="str">
        <f aca="false">IF(NOT(ISBLANK(creatives!C56)),VLOOKUP(creatives!C56,data!$A$2:$B$705,2,0),"")</f>
        <v/>
      </c>
      <c r="M55" s="17" t="n">
        <f aca="false">IF(NOT(ISNUMBER(MATCH(L55,data!B$2:B$705,0))),1,0)</f>
        <v>1</v>
      </c>
      <c r="N55" s="19" t="b">
        <f aca="false">IF(NOT(A55),TRUE(),AND(A55,SUM(B55,C55,D55,E55,F55,G55,K55,M55,I55)=0))</f>
        <v>1</v>
      </c>
      <c r="O55" s="20" t="n">
        <v>54</v>
      </c>
      <c r="P55" s="19" t="b">
        <f aca="false">IF(A55,COUNTIF(A$2:A55, CONCATENATE("=", TRUE()))=O55, TRUE())</f>
        <v>1</v>
      </c>
      <c r="Q55" s="1" t="n">
        <f aca="false">IF(A55,O55,0)</f>
        <v>0</v>
      </c>
    </row>
    <row r="56" customFormat="false" ht="15.65" hidden="false" customHeight="false" outlineLevel="0" collapsed="false">
      <c r="A56" s="17" t="b">
        <f aca="false">COUNTIF(creatives!B57:J57, "*")&gt;0</f>
        <v>0</v>
      </c>
      <c r="B56" s="17" t="n">
        <f aca="false">IF(OR(NOT(ISTEXT(creatives!B57)), ISBLANK(creatives!B57), LEN(TRIM(creatives!B57))&gt;200), 1, 0)</f>
        <v>1</v>
      </c>
      <c r="C56" s="17" t="n">
        <f aca="false">IF(NOT(ISNUMBER(MATCH(creatives!D57,data!C$2:C$6,0))),1,0)</f>
        <v>1</v>
      </c>
      <c r="D56" s="17" t="n">
        <f aca="false">IF(OR(LEFT(creatives!G57,7)="http://",LEFT(creatives!G57,8)="https://"), 0, 1)</f>
        <v>1</v>
      </c>
      <c r="E56" s="17" t="n">
        <f aca="false">IF(OR(LEFT(creatives!H57,7)="http://",LEFT(creatives!H57,8)="https://"), 0, 1)</f>
        <v>1</v>
      </c>
      <c r="F56" s="17" t="n">
        <f aca="false">IF(NOT(ISNUMBER(MATCH(creatives!I57,data!G$2:G$6,0))),1,0)</f>
        <v>1</v>
      </c>
      <c r="G56" s="17" t="n">
        <f aca="false">IF(ISBLANK(creatives!J57), 1, 0)</f>
        <v>1</v>
      </c>
      <c r="H56" s="17" t="str">
        <f aca="false">IF(NOT(ISBLANK(creatives!F57)),VLOOKUP(creatives!F57,data!I$2:J$29,2,0),"")</f>
        <v/>
      </c>
      <c r="I56" s="17" t="n">
        <f aca="false">IF(AND(NOT(ISBLANK(creatives!F57)),NOT(ISNUMBER(MATCH(H56,data!J$2:J$29,0)))),1,0)</f>
        <v>0</v>
      </c>
      <c r="J56" s="17" t="str">
        <f aca="false">IF(NOT(ISBLANK(creatives!E57)),VLOOKUP(creatives!E57,data!M$2:N$38,2,0),"")</f>
        <v/>
      </c>
      <c r="K56" s="17" t="n">
        <f aca="false">IF(NOT(ISNUMBER(MATCH(J56,data!N$2:N$38,0))),1,0)</f>
        <v>1</v>
      </c>
      <c r="L56" s="18" t="str">
        <f aca="false">IF(NOT(ISBLANK(creatives!C57)),VLOOKUP(creatives!C57,data!$A$2:$B$705,2,0),"")</f>
        <v/>
      </c>
      <c r="M56" s="17" t="n">
        <f aca="false">IF(NOT(ISNUMBER(MATCH(L56,data!B$2:B$705,0))),1,0)</f>
        <v>1</v>
      </c>
      <c r="N56" s="19" t="b">
        <f aca="false">IF(NOT(A56),TRUE(),AND(A56,SUM(B56,C56,D56,E56,F56,G56,K56,M56,I56)=0))</f>
        <v>1</v>
      </c>
      <c r="O56" s="20" t="n">
        <v>55</v>
      </c>
      <c r="P56" s="19" t="b">
        <f aca="false">IF(A56,COUNTIF(A$2:A56, CONCATENATE("=", TRUE()))=O56, TRUE())</f>
        <v>1</v>
      </c>
      <c r="Q56" s="1" t="n">
        <f aca="false">IF(A56,O56,0)</f>
        <v>0</v>
      </c>
    </row>
    <row r="57" customFormat="false" ht="15.65" hidden="false" customHeight="false" outlineLevel="0" collapsed="false">
      <c r="A57" s="17" t="b">
        <f aca="false">COUNTIF(creatives!B58:J58, "*")&gt;0</f>
        <v>0</v>
      </c>
      <c r="B57" s="17" t="n">
        <f aca="false">IF(OR(NOT(ISTEXT(creatives!B58)), ISBLANK(creatives!B58), LEN(TRIM(creatives!B58))&gt;200), 1, 0)</f>
        <v>1</v>
      </c>
      <c r="C57" s="17" t="n">
        <f aca="false">IF(NOT(ISNUMBER(MATCH(creatives!D58,data!C$2:C$6,0))),1,0)</f>
        <v>1</v>
      </c>
      <c r="D57" s="17" t="n">
        <f aca="false">IF(OR(LEFT(creatives!G58,7)="http://",LEFT(creatives!G58,8)="https://"), 0, 1)</f>
        <v>1</v>
      </c>
      <c r="E57" s="17" t="n">
        <f aca="false">IF(OR(LEFT(creatives!H58,7)="http://",LEFT(creatives!H58,8)="https://"), 0, 1)</f>
        <v>1</v>
      </c>
      <c r="F57" s="17" t="n">
        <f aca="false">IF(NOT(ISNUMBER(MATCH(creatives!I58,data!G$2:G$6,0))),1,0)</f>
        <v>1</v>
      </c>
      <c r="G57" s="17" t="n">
        <f aca="false">IF(ISBLANK(creatives!J58), 1, 0)</f>
        <v>1</v>
      </c>
      <c r="H57" s="17" t="str">
        <f aca="false">IF(NOT(ISBLANK(creatives!F58)),VLOOKUP(creatives!F58,data!I$2:J$29,2,0),"")</f>
        <v/>
      </c>
      <c r="I57" s="17" t="n">
        <f aca="false">IF(AND(NOT(ISBLANK(creatives!F58)),NOT(ISNUMBER(MATCH(H57,data!J$2:J$29,0)))),1,0)</f>
        <v>0</v>
      </c>
      <c r="J57" s="17" t="str">
        <f aca="false">IF(NOT(ISBLANK(creatives!E58)),VLOOKUP(creatives!E58,data!M$2:N$38,2,0),"")</f>
        <v/>
      </c>
      <c r="K57" s="17" t="n">
        <f aca="false">IF(NOT(ISNUMBER(MATCH(J57,data!N$2:N$38,0))),1,0)</f>
        <v>1</v>
      </c>
      <c r="L57" s="18" t="str">
        <f aca="false">IF(NOT(ISBLANK(creatives!C58)),VLOOKUP(creatives!C58,data!$A$2:$B$705,2,0),"")</f>
        <v/>
      </c>
      <c r="M57" s="17" t="n">
        <f aca="false">IF(NOT(ISNUMBER(MATCH(L57,data!B$2:B$705,0))),1,0)</f>
        <v>1</v>
      </c>
      <c r="N57" s="19" t="b">
        <f aca="false">IF(NOT(A57),TRUE(),AND(A57,SUM(B57,C57,D57,E57,F57,G57,K57,M57,I57)=0))</f>
        <v>1</v>
      </c>
      <c r="O57" s="20" t="n">
        <v>56</v>
      </c>
      <c r="P57" s="19" t="b">
        <f aca="false">IF(A57,COUNTIF(A$2:A57, CONCATENATE("=", TRUE()))=O57, TRUE())</f>
        <v>1</v>
      </c>
      <c r="Q57" s="1" t="n">
        <f aca="false">IF(A57,O57,0)</f>
        <v>0</v>
      </c>
    </row>
    <row r="58" customFormat="false" ht="15.65" hidden="false" customHeight="false" outlineLevel="0" collapsed="false">
      <c r="A58" s="17" t="b">
        <f aca="false">COUNTIF(creatives!B59:J59, "*")&gt;0</f>
        <v>0</v>
      </c>
      <c r="B58" s="17" t="n">
        <f aca="false">IF(OR(NOT(ISTEXT(creatives!B59)), ISBLANK(creatives!B59), LEN(TRIM(creatives!B59))&gt;200), 1, 0)</f>
        <v>1</v>
      </c>
      <c r="C58" s="17" t="n">
        <f aca="false">IF(NOT(ISNUMBER(MATCH(creatives!D59,data!C$2:C$6,0))),1,0)</f>
        <v>1</v>
      </c>
      <c r="D58" s="17" t="n">
        <f aca="false">IF(OR(LEFT(creatives!G59,7)="http://",LEFT(creatives!G59,8)="https://"), 0, 1)</f>
        <v>1</v>
      </c>
      <c r="E58" s="17" t="n">
        <f aca="false">IF(OR(LEFT(creatives!H59,7)="http://",LEFT(creatives!H59,8)="https://"), 0, 1)</f>
        <v>1</v>
      </c>
      <c r="F58" s="17" t="n">
        <f aca="false">IF(NOT(ISNUMBER(MATCH(creatives!I59,data!G$2:G$6,0))),1,0)</f>
        <v>1</v>
      </c>
      <c r="G58" s="17" t="n">
        <f aca="false">IF(ISBLANK(creatives!J59), 1, 0)</f>
        <v>1</v>
      </c>
      <c r="H58" s="17" t="str">
        <f aca="false">IF(NOT(ISBLANK(creatives!F59)),VLOOKUP(creatives!F59,data!I$2:J$29,2,0),"")</f>
        <v/>
      </c>
      <c r="I58" s="17" t="n">
        <f aca="false">IF(AND(NOT(ISBLANK(creatives!F59)),NOT(ISNUMBER(MATCH(H58,data!J$2:J$29,0)))),1,0)</f>
        <v>0</v>
      </c>
      <c r="J58" s="17" t="str">
        <f aca="false">IF(NOT(ISBLANK(creatives!E59)),VLOOKUP(creatives!E59,data!M$2:N$38,2,0),"")</f>
        <v/>
      </c>
      <c r="K58" s="17" t="n">
        <f aca="false">IF(NOT(ISNUMBER(MATCH(J58,data!N$2:N$38,0))),1,0)</f>
        <v>1</v>
      </c>
      <c r="L58" s="18" t="str">
        <f aca="false">IF(NOT(ISBLANK(creatives!C59)),VLOOKUP(creatives!C59,data!$A$2:$B$705,2,0),"")</f>
        <v/>
      </c>
      <c r="M58" s="17" t="n">
        <f aca="false">IF(NOT(ISNUMBER(MATCH(L58,data!B$2:B$705,0))),1,0)</f>
        <v>1</v>
      </c>
      <c r="N58" s="19" t="b">
        <f aca="false">IF(NOT(A58),TRUE(),AND(A58,SUM(B58,C58,D58,E58,F58,G58,K58,M58,I58)=0))</f>
        <v>1</v>
      </c>
      <c r="O58" s="20" t="n">
        <v>57</v>
      </c>
      <c r="P58" s="19" t="b">
        <f aca="false">IF(A58,COUNTIF(A$2:A58, CONCATENATE("=", TRUE()))=O58, TRUE())</f>
        <v>1</v>
      </c>
      <c r="Q58" s="1" t="n">
        <f aca="false">IF(A58,O58,0)</f>
        <v>0</v>
      </c>
    </row>
    <row r="59" customFormat="false" ht="15.65" hidden="false" customHeight="false" outlineLevel="0" collapsed="false">
      <c r="A59" s="17" t="b">
        <f aca="false">COUNTIF(creatives!B60:J60, "*")&gt;0</f>
        <v>0</v>
      </c>
      <c r="B59" s="17" t="n">
        <f aca="false">IF(OR(NOT(ISTEXT(creatives!B60)), ISBLANK(creatives!B60), LEN(TRIM(creatives!B60))&gt;200), 1, 0)</f>
        <v>1</v>
      </c>
      <c r="C59" s="17" t="n">
        <f aca="false">IF(NOT(ISNUMBER(MATCH(creatives!D60,data!C$2:C$6,0))),1,0)</f>
        <v>1</v>
      </c>
      <c r="D59" s="17" t="n">
        <f aca="false">IF(OR(LEFT(creatives!G60,7)="http://",LEFT(creatives!G60,8)="https://"), 0, 1)</f>
        <v>1</v>
      </c>
      <c r="E59" s="17" t="n">
        <f aca="false">IF(OR(LEFT(creatives!H60,7)="http://",LEFT(creatives!H60,8)="https://"), 0, 1)</f>
        <v>1</v>
      </c>
      <c r="F59" s="17" t="n">
        <f aca="false">IF(NOT(ISNUMBER(MATCH(creatives!I60,data!G$2:G$6,0))),1,0)</f>
        <v>1</v>
      </c>
      <c r="G59" s="17" t="n">
        <f aca="false">IF(ISBLANK(creatives!J60), 1, 0)</f>
        <v>1</v>
      </c>
      <c r="H59" s="17" t="str">
        <f aca="false">IF(NOT(ISBLANK(creatives!F60)),VLOOKUP(creatives!F60,data!I$2:J$29,2,0),"")</f>
        <v/>
      </c>
      <c r="I59" s="17" t="n">
        <f aca="false">IF(AND(NOT(ISBLANK(creatives!F60)),NOT(ISNUMBER(MATCH(H59,data!J$2:J$29,0)))),1,0)</f>
        <v>0</v>
      </c>
      <c r="J59" s="17" t="str">
        <f aca="false">IF(NOT(ISBLANK(creatives!E60)),VLOOKUP(creatives!E60,data!M$2:N$38,2,0),"")</f>
        <v/>
      </c>
      <c r="K59" s="17" t="n">
        <f aca="false">IF(NOT(ISNUMBER(MATCH(J59,data!N$2:N$38,0))),1,0)</f>
        <v>1</v>
      </c>
      <c r="L59" s="18" t="str">
        <f aca="false">IF(NOT(ISBLANK(creatives!C60)),VLOOKUP(creatives!C60,data!$A$2:$B$705,2,0),"")</f>
        <v/>
      </c>
      <c r="M59" s="17" t="n">
        <f aca="false">IF(NOT(ISNUMBER(MATCH(L59,data!B$2:B$705,0))),1,0)</f>
        <v>1</v>
      </c>
      <c r="N59" s="19" t="b">
        <f aca="false">IF(NOT(A59),TRUE(),AND(A59,SUM(B59,C59,D59,E59,F59,G59,K59,M59,I59)=0))</f>
        <v>1</v>
      </c>
      <c r="O59" s="20" t="n">
        <v>58</v>
      </c>
      <c r="P59" s="19" t="b">
        <f aca="false">IF(A59,COUNTIF(A$2:A59, CONCATENATE("=", TRUE()))=O59, TRUE())</f>
        <v>1</v>
      </c>
      <c r="Q59" s="1" t="n">
        <f aca="false">IF(A59,O59,0)</f>
        <v>0</v>
      </c>
    </row>
    <row r="60" customFormat="false" ht="15.65" hidden="false" customHeight="false" outlineLevel="0" collapsed="false">
      <c r="A60" s="17" t="b">
        <f aca="false">COUNTIF(creatives!B61:J61, "*")&gt;0</f>
        <v>0</v>
      </c>
      <c r="B60" s="17" t="n">
        <f aca="false">IF(OR(NOT(ISTEXT(creatives!B61)), ISBLANK(creatives!B61), LEN(TRIM(creatives!B61))&gt;200), 1, 0)</f>
        <v>1</v>
      </c>
      <c r="C60" s="17" t="n">
        <f aca="false">IF(NOT(ISNUMBER(MATCH(creatives!D61,data!C$2:C$6,0))),1,0)</f>
        <v>1</v>
      </c>
      <c r="D60" s="17" t="n">
        <f aca="false">IF(OR(LEFT(creatives!G61,7)="http://",LEFT(creatives!G61,8)="https://"), 0, 1)</f>
        <v>1</v>
      </c>
      <c r="E60" s="17" t="n">
        <f aca="false">IF(OR(LEFT(creatives!H61,7)="http://",LEFT(creatives!H61,8)="https://"), 0, 1)</f>
        <v>1</v>
      </c>
      <c r="F60" s="17" t="n">
        <f aca="false">IF(NOT(ISNUMBER(MATCH(creatives!I61,data!G$2:G$6,0))),1,0)</f>
        <v>1</v>
      </c>
      <c r="G60" s="17" t="n">
        <f aca="false">IF(ISBLANK(creatives!J61), 1, 0)</f>
        <v>1</v>
      </c>
      <c r="H60" s="17" t="str">
        <f aca="false">IF(NOT(ISBLANK(creatives!F61)),VLOOKUP(creatives!F61,data!I$2:J$29,2,0),"")</f>
        <v/>
      </c>
      <c r="I60" s="17" t="n">
        <f aca="false">IF(AND(NOT(ISBLANK(creatives!F61)),NOT(ISNUMBER(MATCH(H60,data!J$2:J$29,0)))),1,0)</f>
        <v>0</v>
      </c>
      <c r="J60" s="17" t="str">
        <f aca="false">IF(NOT(ISBLANK(creatives!E61)),VLOOKUP(creatives!E61,data!M$2:N$38,2,0),"")</f>
        <v/>
      </c>
      <c r="K60" s="17" t="n">
        <f aca="false">IF(NOT(ISNUMBER(MATCH(J60,data!N$2:N$38,0))),1,0)</f>
        <v>1</v>
      </c>
      <c r="L60" s="18" t="str">
        <f aca="false">IF(NOT(ISBLANK(creatives!C61)),VLOOKUP(creatives!C61,data!$A$2:$B$705,2,0),"")</f>
        <v/>
      </c>
      <c r="M60" s="17" t="n">
        <f aca="false">IF(NOT(ISNUMBER(MATCH(L60,data!B$2:B$705,0))),1,0)</f>
        <v>1</v>
      </c>
      <c r="N60" s="19" t="b">
        <f aca="false">IF(NOT(A60),TRUE(),AND(A60,SUM(B60,C60,D60,E60,F60,G60,K60,M60,I60)=0))</f>
        <v>1</v>
      </c>
      <c r="O60" s="20" t="n">
        <v>59</v>
      </c>
      <c r="P60" s="19" t="b">
        <f aca="false">IF(A60,COUNTIF(A$2:A60, CONCATENATE("=", TRUE()))=O60, TRUE())</f>
        <v>1</v>
      </c>
      <c r="Q60" s="1" t="n">
        <f aca="false">IF(A60,O60,0)</f>
        <v>0</v>
      </c>
    </row>
    <row r="61" customFormat="false" ht="15.65" hidden="false" customHeight="false" outlineLevel="0" collapsed="false">
      <c r="A61" s="17" t="b">
        <f aca="false">COUNTIF(creatives!B62:J62, "*")&gt;0</f>
        <v>0</v>
      </c>
      <c r="B61" s="17" t="n">
        <f aca="false">IF(OR(NOT(ISTEXT(creatives!B62)), ISBLANK(creatives!B62), LEN(TRIM(creatives!B62))&gt;200), 1, 0)</f>
        <v>1</v>
      </c>
      <c r="C61" s="17" t="n">
        <f aca="false">IF(NOT(ISNUMBER(MATCH(creatives!D62,data!C$2:C$6,0))),1,0)</f>
        <v>1</v>
      </c>
      <c r="D61" s="17" t="n">
        <f aca="false">IF(OR(LEFT(creatives!G62,7)="http://",LEFT(creatives!G62,8)="https://"), 0, 1)</f>
        <v>1</v>
      </c>
      <c r="E61" s="17" t="n">
        <f aca="false">IF(OR(LEFT(creatives!H62,7)="http://",LEFT(creatives!H62,8)="https://"), 0, 1)</f>
        <v>1</v>
      </c>
      <c r="F61" s="17" t="n">
        <f aca="false">IF(NOT(ISNUMBER(MATCH(creatives!I62,data!G$2:G$6,0))),1,0)</f>
        <v>1</v>
      </c>
      <c r="G61" s="17" t="n">
        <f aca="false">IF(ISBLANK(creatives!J62), 1, 0)</f>
        <v>1</v>
      </c>
      <c r="H61" s="17" t="str">
        <f aca="false">IF(NOT(ISBLANK(creatives!F62)),VLOOKUP(creatives!F62,data!I$2:J$29,2,0),"")</f>
        <v/>
      </c>
      <c r="I61" s="17" t="n">
        <f aca="false">IF(AND(NOT(ISBLANK(creatives!F62)),NOT(ISNUMBER(MATCH(H61,data!J$2:J$29,0)))),1,0)</f>
        <v>0</v>
      </c>
      <c r="J61" s="17" t="str">
        <f aca="false">IF(NOT(ISBLANK(creatives!E62)),VLOOKUP(creatives!E62,data!M$2:N$38,2,0),"")</f>
        <v/>
      </c>
      <c r="K61" s="17" t="n">
        <f aca="false">IF(NOT(ISNUMBER(MATCH(J61,data!N$2:N$38,0))),1,0)</f>
        <v>1</v>
      </c>
      <c r="L61" s="18" t="str">
        <f aca="false">IF(NOT(ISBLANK(creatives!C62)),VLOOKUP(creatives!C62,data!$A$2:$B$705,2,0),"")</f>
        <v/>
      </c>
      <c r="M61" s="17" t="n">
        <f aca="false">IF(NOT(ISNUMBER(MATCH(L61,data!B$2:B$705,0))),1,0)</f>
        <v>1</v>
      </c>
      <c r="N61" s="19" t="b">
        <f aca="false">IF(NOT(A61),TRUE(),AND(A61,SUM(B61,C61,D61,E61,F61,G61,K61,M61,I61)=0))</f>
        <v>1</v>
      </c>
      <c r="O61" s="20" t="n">
        <v>60</v>
      </c>
      <c r="P61" s="19" t="b">
        <f aca="false">IF(A61,COUNTIF(A$2:A61, CONCATENATE("=", TRUE()))=O61, TRUE())</f>
        <v>1</v>
      </c>
      <c r="Q61" s="1" t="n">
        <f aca="false">IF(A61,O61,0)</f>
        <v>0</v>
      </c>
    </row>
    <row r="62" customFormat="false" ht="15.65" hidden="false" customHeight="false" outlineLevel="0" collapsed="false">
      <c r="A62" s="17" t="b">
        <f aca="false">COUNTIF(creatives!B63:J63, "*")&gt;0</f>
        <v>0</v>
      </c>
      <c r="B62" s="17" t="n">
        <f aca="false">IF(OR(NOT(ISTEXT(creatives!B63)), ISBLANK(creatives!B63), LEN(TRIM(creatives!B63))&gt;200), 1, 0)</f>
        <v>1</v>
      </c>
      <c r="C62" s="17" t="n">
        <f aca="false">IF(NOT(ISNUMBER(MATCH(creatives!D63,data!C$2:C$6,0))),1,0)</f>
        <v>1</v>
      </c>
      <c r="D62" s="17" t="n">
        <f aca="false">IF(OR(LEFT(creatives!G63,7)="http://",LEFT(creatives!G63,8)="https://"), 0, 1)</f>
        <v>1</v>
      </c>
      <c r="E62" s="17" t="n">
        <f aca="false">IF(OR(LEFT(creatives!H63,7)="http://",LEFT(creatives!H63,8)="https://"), 0, 1)</f>
        <v>1</v>
      </c>
      <c r="F62" s="17" t="n">
        <f aca="false">IF(NOT(ISNUMBER(MATCH(creatives!I63,data!G$2:G$6,0))),1,0)</f>
        <v>1</v>
      </c>
      <c r="G62" s="17" t="n">
        <f aca="false">IF(ISBLANK(creatives!J63), 1, 0)</f>
        <v>1</v>
      </c>
      <c r="H62" s="17" t="str">
        <f aca="false">IF(NOT(ISBLANK(creatives!F63)),VLOOKUP(creatives!F63,data!I$2:J$29,2,0),"")</f>
        <v/>
      </c>
      <c r="I62" s="17" t="n">
        <f aca="false">IF(AND(NOT(ISBLANK(creatives!F63)),NOT(ISNUMBER(MATCH(H62,data!J$2:J$29,0)))),1,0)</f>
        <v>0</v>
      </c>
      <c r="J62" s="17" t="str">
        <f aca="false">IF(NOT(ISBLANK(creatives!E63)),VLOOKUP(creatives!E63,data!M$2:N$38,2,0),"")</f>
        <v/>
      </c>
      <c r="K62" s="17" t="n">
        <f aca="false">IF(NOT(ISNUMBER(MATCH(J62,data!N$2:N$38,0))),1,0)</f>
        <v>1</v>
      </c>
      <c r="L62" s="18" t="str">
        <f aca="false">IF(NOT(ISBLANK(creatives!C63)),VLOOKUP(creatives!C63,data!$A$2:$B$705,2,0),"")</f>
        <v/>
      </c>
      <c r="M62" s="17" t="n">
        <f aca="false">IF(NOT(ISNUMBER(MATCH(L62,data!B$2:B$705,0))),1,0)</f>
        <v>1</v>
      </c>
      <c r="N62" s="19" t="b">
        <f aca="false">IF(NOT(A62),TRUE(),AND(A62,SUM(B62,C62,D62,E62,F62,G62,K62,M62,I62)=0))</f>
        <v>1</v>
      </c>
      <c r="O62" s="20" t="n">
        <v>61</v>
      </c>
      <c r="P62" s="19" t="b">
        <f aca="false">IF(A62,COUNTIF(A$2:A62, CONCATENATE("=", TRUE()))=O62, TRUE())</f>
        <v>1</v>
      </c>
      <c r="Q62" s="1" t="n">
        <f aca="false">IF(A62,O62,0)</f>
        <v>0</v>
      </c>
    </row>
    <row r="63" customFormat="false" ht="15.65" hidden="false" customHeight="false" outlineLevel="0" collapsed="false">
      <c r="A63" s="17" t="b">
        <f aca="false">COUNTIF(creatives!B64:J64, "*")&gt;0</f>
        <v>0</v>
      </c>
      <c r="B63" s="17" t="n">
        <f aca="false">IF(OR(NOT(ISTEXT(creatives!B64)), ISBLANK(creatives!B64), LEN(TRIM(creatives!B64))&gt;200), 1, 0)</f>
        <v>1</v>
      </c>
      <c r="C63" s="17" t="n">
        <f aca="false">IF(NOT(ISNUMBER(MATCH(creatives!D64,data!C$2:C$6,0))),1,0)</f>
        <v>1</v>
      </c>
      <c r="D63" s="17" t="n">
        <f aca="false">IF(OR(LEFT(creatives!G64,7)="http://",LEFT(creatives!G64,8)="https://"), 0, 1)</f>
        <v>1</v>
      </c>
      <c r="E63" s="17" t="n">
        <f aca="false">IF(OR(LEFT(creatives!H64,7)="http://",LEFT(creatives!H64,8)="https://"), 0, 1)</f>
        <v>1</v>
      </c>
      <c r="F63" s="17" t="n">
        <f aca="false">IF(NOT(ISNUMBER(MATCH(creatives!I64,data!G$2:G$6,0))),1,0)</f>
        <v>1</v>
      </c>
      <c r="G63" s="17" t="n">
        <f aca="false">IF(ISBLANK(creatives!J64), 1, 0)</f>
        <v>1</v>
      </c>
      <c r="H63" s="17" t="str">
        <f aca="false">IF(NOT(ISBLANK(creatives!F64)),VLOOKUP(creatives!F64,data!I$2:J$29,2,0),"")</f>
        <v/>
      </c>
      <c r="I63" s="17" t="n">
        <f aca="false">IF(AND(NOT(ISBLANK(creatives!F64)),NOT(ISNUMBER(MATCH(H63,data!J$2:J$29,0)))),1,0)</f>
        <v>0</v>
      </c>
      <c r="J63" s="17" t="str">
        <f aca="false">IF(NOT(ISBLANK(creatives!E64)),VLOOKUP(creatives!E64,data!M$2:N$38,2,0),"")</f>
        <v/>
      </c>
      <c r="K63" s="17" t="n">
        <f aca="false">IF(NOT(ISNUMBER(MATCH(J63,data!N$2:N$38,0))),1,0)</f>
        <v>1</v>
      </c>
      <c r="L63" s="18" t="str">
        <f aca="false">IF(NOT(ISBLANK(creatives!C64)),VLOOKUP(creatives!C64,data!$A$2:$B$705,2,0),"")</f>
        <v/>
      </c>
      <c r="M63" s="17" t="n">
        <f aca="false">IF(NOT(ISNUMBER(MATCH(L63,data!B$2:B$705,0))),1,0)</f>
        <v>1</v>
      </c>
      <c r="N63" s="19" t="b">
        <f aca="false">IF(NOT(A63),TRUE(),AND(A63,SUM(B63,C63,D63,E63,F63,G63,K63,M63,I63)=0))</f>
        <v>1</v>
      </c>
      <c r="O63" s="20" t="n">
        <v>62</v>
      </c>
      <c r="P63" s="19" t="b">
        <f aca="false">IF(A63,COUNTIF(A$2:A63, CONCATENATE("=", TRUE()))=O63, TRUE())</f>
        <v>1</v>
      </c>
      <c r="Q63" s="1" t="n">
        <f aca="false">IF(A63,O63,0)</f>
        <v>0</v>
      </c>
    </row>
    <row r="64" customFormat="false" ht="15.65" hidden="false" customHeight="false" outlineLevel="0" collapsed="false">
      <c r="A64" s="17" t="b">
        <f aca="false">COUNTIF(creatives!B65:J65, "*")&gt;0</f>
        <v>0</v>
      </c>
      <c r="B64" s="17" t="n">
        <f aca="false">IF(OR(NOT(ISTEXT(creatives!B65)), ISBLANK(creatives!B65), LEN(TRIM(creatives!B65))&gt;200), 1, 0)</f>
        <v>1</v>
      </c>
      <c r="C64" s="17" t="n">
        <f aca="false">IF(NOT(ISNUMBER(MATCH(creatives!D65,data!C$2:C$6,0))),1,0)</f>
        <v>1</v>
      </c>
      <c r="D64" s="17" t="n">
        <f aca="false">IF(OR(LEFT(creatives!G65,7)="http://",LEFT(creatives!G65,8)="https://"), 0, 1)</f>
        <v>1</v>
      </c>
      <c r="E64" s="17" t="n">
        <f aca="false">IF(OR(LEFT(creatives!H65,7)="http://",LEFT(creatives!H65,8)="https://"), 0, 1)</f>
        <v>1</v>
      </c>
      <c r="F64" s="17" t="n">
        <f aca="false">IF(NOT(ISNUMBER(MATCH(creatives!I65,data!G$2:G$6,0))),1,0)</f>
        <v>1</v>
      </c>
      <c r="G64" s="17" t="n">
        <f aca="false">IF(ISBLANK(creatives!J65), 1, 0)</f>
        <v>1</v>
      </c>
      <c r="H64" s="17" t="str">
        <f aca="false">IF(NOT(ISBLANK(creatives!F65)),VLOOKUP(creatives!F65,data!I$2:J$29,2,0),"")</f>
        <v/>
      </c>
      <c r="I64" s="17" t="n">
        <f aca="false">IF(AND(NOT(ISBLANK(creatives!F65)),NOT(ISNUMBER(MATCH(H64,data!J$2:J$29,0)))),1,0)</f>
        <v>0</v>
      </c>
      <c r="J64" s="17" t="str">
        <f aca="false">IF(NOT(ISBLANK(creatives!E65)),VLOOKUP(creatives!E65,data!M$2:N$38,2,0),"")</f>
        <v/>
      </c>
      <c r="K64" s="17" t="n">
        <f aca="false">IF(NOT(ISNUMBER(MATCH(J64,data!N$2:N$38,0))),1,0)</f>
        <v>1</v>
      </c>
      <c r="L64" s="18" t="str">
        <f aca="false">IF(NOT(ISBLANK(creatives!C65)),VLOOKUP(creatives!C65,data!$A$2:$B$705,2,0),"")</f>
        <v/>
      </c>
      <c r="M64" s="17" t="n">
        <f aca="false">IF(NOT(ISNUMBER(MATCH(L64,data!B$2:B$705,0))),1,0)</f>
        <v>1</v>
      </c>
      <c r="N64" s="19" t="b">
        <f aca="false">IF(NOT(A64),TRUE(),AND(A64,SUM(B64,C64,D64,E64,F64,G64,K64,M64,I64)=0))</f>
        <v>1</v>
      </c>
      <c r="O64" s="20" t="n">
        <v>63</v>
      </c>
      <c r="P64" s="19" t="b">
        <f aca="false">IF(A64,COUNTIF(A$2:A64, CONCATENATE("=", TRUE()))=O64, TRUE())</f>
        <v>1</v>
      </c>
      <c r="Q64" s="1" t="n">
        <f aca="false">IF(A64,O64,0)</f>
        <v>0</v>
      </c>
    </row>
    <row r="65" customFormat="false" ht="15.65" hidden="false" customHeight="false" outlineLevel="0" collapsed="false">
      <c r="A65" s="17" t="b">
        <f aca="false">COUNTIF(creatives!B66:J66, "*")&gt;0</f>
        <v>0</v>
      </c>
      <c r="B65" s="17" t="n">
        <f aca="false">IF(OR(NOT(ISTEXT(creatives!B66)), ISBLANK(creatives!B66), LEN(TRIM(creatives!B66))&gt;200), 1, 0)</f>
        <v>1</v>
      </c>
      <c r="C65" s="17" t="n">
        <f aca="false">IF(NOT(ISNUMBER(MATCH(creatives!D66,data!C$2:C$6,0))),1,0)</f>
        <v>1</v>
      </c>
      <c r="D65" s="17" t="n">
        <f aca="false">IF(OR(LEFT(creatives!G66,7)="http://",LEFT(creatives!G66,8)="https://"), 0, 1)</f>
        <v>1</v>
      </c>
      <c r="E65" s="17" t="n">
        <f aca="false">IF(OR(LEFT(creatives!H66,7)="http://",LEFT(creatives!H66,8)="https://"), 0, 1)</f>
        <v>1</v>
      </c>
      <c r="F65" s="17" t="n">
        <f aca="false">IF(NOT(ISNUMBER(MATCH(creatives!I66,data!G$2:G$6,0))),1,0)</f>
        <v>1</v>
      </c>
      <c r="G65" s="17" t="n">
        <f aca="false">IF(ISBLANK(creatives!J66), 1, 0)</f>
        <v>1</v>
      </c>
      <c r="H65" s="17" t="str">
        <f aca="false">IF(NOT(ISBLANK(creatives!F66)),VLOOKUP(creatives!F66,data!I$2:J$29,2,0),"")</f>
        <v/>
      </c>
      <c r="I65" s="17" t="n">
        <f aca="false">IF(AND(NOT(ISBLANK(creatives!F66)),NOT(ISNUMBER(MATCH(H65,data!J$2:J$29,0)))),1,0)</f>
        <v>0</v>
      </c>
      <c r="J65" s="17" t="str">
        <f aca="false">IF(NOT(ISBLANK(creatives!E66)),VLOOKUP(creatives!E66,data!M$2:N$38,2,0),"")</f>
        <v/>
      </c>
      <c r="K65" s="17" t="n">
        <f aca="false">IF(NOT(ISNUMBER(MATCH(J65,data!N$2:N$38,0))),1,0)</f>
        <v>1</v>
      </c>
      <c r="L65" s="18" t="str">
        <f aca="false">IF(NOT(ISBLANK(creatives!C66)),VLOOKUP(creatives!C66,data!$A$2:$B$705,2,0),"")</f>
        <v/>
      </c>
      <c r="M65" s="17" t="n">
        <f aca="false">IF(NOT(ISNUMBER(MATCH(L65,data!B$2:B$705,0))),1,0)</f>
        <v>1</v>
      </c>
      <c r="N65" s="19" t="b">
        <f aca="false">IF(NOT(A65),TRUE(),AND(A65,SUM(B65,C65,D65,E65,F65,G65,K65,M65,I65)=0))</f>
        <v>1</v>
      </c>
      <c r="O65" s="20" t="n">
        <v>64</v>
      </c>
      <c r="P65" s="19" t="b">
        <f aca="false">IF(A65,COUNTIF(A$2:A65, CONCATENATE("=", TRUE()))=O65, TRUE())</f>
        <v>1</v>
      </c>
      <c r="Q65" s="1" t="n">
        <f aca="false">IF(A65,O65,0)</f>
        <v>0</v>
      </c>
    </row>
    <row r="66" customFormat="false" ht="15.65" hidden="false" customHeight="false" outlineLevel="0" collapsed="false">
      <c r="A66" s="17" t="b">
        <f aca="false">COUNTIF(creatives!B67:J67, "*")&gt;0</f>
        <v>0</v>
      </c>
      <c r="B66" s="17" t="n">
        <f aca="false">IF(OR(NOT(ISTEXT(creatives!B67)), ISBLANK(creatives!B67), LEN(TRIM(creatives!B67))&gt;200), 1, 0)</f>
        <v>1</v>
      </c>
      <c r="C66" s="17" t="n">
        <f aca="false">IF(NOT(ISNUMBER(MATCH(creatives!D67,data!C$2:C$6,0))),1,0)</f>
        <v>1</v>
      </c>
      <c r="D66" s="17" t="n">
        <f aca="false">IF(OR(LEFT(creatives!G67,7)="http://",LEFT(creatives!G67,8)="https://"), 0, 1)</f>
        <v>1</v>
      </c>
      <c r="E66" s="17" t="n">
        <f aca="false">IF(OR(LEFT(creatives!H67,7)="http://",LEFT(creatives!H67,8)="https://"), 0, 1)</f>
        <v>1</v>
      </c>
      <c r="F66" s="17" t="n">
        <f aca="false">IF(NOT(ISNUMBER(MATCH(creatives!I67,data!G$2:G$6,0))),1,0)</f>
        <v>1</v>
      </c>
      <c r="G66" s="17" t="n">
        <f aca="false">IF(ISBLANK(creatives!J67), 1, 0)</f>
        <v>1</v>
      </c>
      <c r="H66" s="17" t="str">
        <f aca="false">IF(NOT(ISBLANK(creatives!F67)),VLOOKUP(creatives!F67,data!I$2:J$29,2,0),"")</f>
        <v/>
      </c>
      <c r="I66" s="17" t="n">
        <f aca="false">IF(AND(NOT(ISBLANK(creatives!F67)),NOT(ISNUMBER(MATCH(H66,data!J$2:J$29,0)))),1,0)</f>
        <v>0</v>
      </c>
      <c r="J66" s="17" t="str">
        <f aca="false">IF(NOT(ISBLANK(creatives!E67)),VLOOKUP(creatives!E67,data!M$2:N$38,2,0),"")</f>
        <v/>
      </c>
      <c r="K66" s="17" t="n">
        <f aca="false">IF(NOT(ISNUMBER(MATCH(J66,data!N$2:N$38,0))),1,0)</f>
        <v>1</v>
      </c>
      <c r="L66" s="18" t="str">
        <f aca="false">IF(NOT(ISBLANK(creatives!C67)),VLOOKUP(creatives!C67,data!$A$2:$B$705,2,0),"")</f>
        <v/>
      </c>
      <c r="M66" s="17" t="n">
        <f aca="false">IF(NOT(ISNUMBER(MATCH(L66,data!B$2:B$705,0))),1,0)</f>
        <v>1</v>
      </c>
      <c r="N66" s="19" t="b">
        <f aca="false">IF(NOT(A66),TRUE(),AND(A66,SUM(B66,C66,D66,E66,F66,G66,K66,M66,I66)=0))</f>
        <v>1</v>
      </c>
      <c r="O66" s="20" t="n">
        <v>65</v>
      </c>
      <c r="P66" s="19" t="b">
        <f aca="false">IF(A66,COUNTIF(A$2:A66, CONCATENATE("=", TRUE()))=O66, TRUE())</f>
        <v>1</v>
      </c>
      <c r="Q66" s="1" t="n">
        <f aca="false">IF(A66,O66,0)</f>
        <v>0</v>
      </c>
    </row>
    <row r="67" customFormat="false" ht="15.65" hidden="false" customHeight="false" outlineLevel="0" collapsed="false">
      <c r="A67" s="17" t="b">
        <f aca="false">COUNTIF(creatives!B68:J68, "*")&gt;0</f>
        <v>0</v>
      </c>
      <c r="B67" s="17" t="n">
        <f aca="false">IF(OR(NOT(ISTEXT(creatives!B68)), ISBLANK(creatives!B68), LEN(TRIM(creatives!B68))&gt;200), 1, 0)</f>
        <v>1</v>
      </c>
      <c r="C67" s="17" t="n">
        <f aca="false">IF(NOT(ISNUMBER(MATCH(creatives!D68,data!C$2:C$6,0))),1,0)</f>
        <v>1</v>
      </c>
      <c r="D67" s="17" t="n">
        <f aca="false">IF(OR(LEFT(creatives!G68,7)="http://",LEFT(creatives!G68,8)="https://"), 0, 1)</f>
        <v>1</v>
      </c>
      <c r="E67" s="17" t="n">
        <f aca="false">IF(OR(LEFT(creatives!H68,7)="http://",LEFT(creatives!H68,8)="https://"), 0, 1)</f>
        <v>1</v>
      </c>
      <c r="F67" s="17" t="n">
        <f aca="false">IF(NOT(ISNUMBER(MATCH(creatives!I68,data!G$2:G$6,0))),1,0)</f>
        <v>1</v>
      </c>
      <c r="G67" s="17" t="n">
        <f aca="false">IF(ISBLANK(creatives!J68), 1, 0)</f>
        <v>1</v>
      </c>
      <c r="H67" s="17" t="str">
        <f aca="false">IF(NOT(ISBLANK(creatives!F68)),VLOOKUP(creatives!F68,data!I$2:J$29,2,0),"")</f>
        <v/>
      </c>
      <c r="I67" s="17" t="n">
        <f aca="false">IF(AND(NOT(ISBLANK(creatives!F68)),NOT(ISNUMBER(MATCH(H67,data!J$2:J$29,0)))),1,0)</f>
        <v>0</v>
      </c>
      <c r="J67" s="17" t="str">
        <f aca="false">IF(NOT(ISBLANK(creatives!E68)),VLOOKUP(creatives!E68,data!M$2:N$38,2,0),"")</f>
        <v/>
      </c>
      <c r="K67" s="17" t="n">
        <f aca="false">IF(NOT(ISNUMBER(MATCH(J67,data!N$2:N$38,0))),1,0)</f>
        <v>1</v>
      </c>
      <c r="L67" s="18" t="str">
        <f aca="false">IF(NOT(ISBLANK(creatives!C68)),VLOOKUP(creatives!C68,data!$A$2:$B$705,2,0),"")</f>
        <v/>
      </c>
      <c r="M67" s="17" t="n">
        <f aca="false">IF(NOT(ISNUMBER(MATCH(L67,data!B$2:B$705,0))),1,0)</f>
        <v>1</v>
      </c>
      <c r="N67" s="19" t="b">
        <f aca="false">IF(NOT(A67),TRUE(),AND(A67,SUM(B67,C67,D67,E67,F67,G67,K67,M67,I67)=0))</f>
        <v>1</v>
      </c>
      <c r="O67" s="20" t="n">
        <v>66</v>
      </c>
      <c r="P67" s="19" t="b">
        <f aca="false">IF(A67,COUNTIF(A$2:A67, CONCATENATE("=", TRUE()))=O67, TRUE())</f>
        <v>1</v>
      </c>
      <c r="Q67" s="1" t="n">
        <f aca="false">IF(A67,O67,0)</f>
        <v>0</v>
      </c>
    </row>
    <row r="68" customFormat="false" ht="15.65" hidden="false" customHeight="false" outlineLevel="0" collapsed="false">
      <c r="A68" s="17" t="b">
        <f aca="false">COUNTIF(creatives!B69:J69, "*")&gt;0</f>
        <v>0</v>
      </c>
      <c r="B68" s="17" t="n">
        <f aca="false">IF(OR(NOT(ISTEXT(creatives!B69)), ISBLANK(creatives!B69), LEN(TRIM(creatives!B69))&gt;200), 1, 0)</f>
        <v>1</v>
      </c>
      <c r="C68" s="17" t="n">
        <f aca="false">IF(NOT(ISNUMBER(MATCH(creatives!D69,data!C$2:C$6,0))),1,0)</f>
        <v>1</v>
      </c>
      <c r="D68" s="17" t="n">
        <f aca="false">IF(OR(LEFT(creatives!G69,7)="http://",LEFT(creatives!G69,8)="https://"), 0, 1)</f>
        <v>1</v>
      </c>
      <c r="E68" s="17" t="n">
        <f aca="false">IF(OR(LEFT(creatives!H69,7)="http://",LEFT(creatives!H69,8)="https://"), 0, 1)</f>
        <v>1</v>
      </c>
      <c r="F68" s="17" t="n">
        <f aca="false">IF(NOT(ISNUMBER(MATCH(creatives!I69,data!G$2:G$6,0))),1,0)</f>
        <v>1</v>
      </c>
      <c r="G68" s="17" t="n">
        <f aca="false">IF(ISBLANK(creatives!J69), 1, 0)</f>
        <v>1</v>
      </c>
      <c r="H68" s="17" t="str">
        <f aca="false">IF(NOT(ISBLANK(creatives!F69)),VLOOKUP(creatives!F69,data!I$2:J$29,2,0),"")</f>
        <v/>
      </c>
      <c r="I68" s="17" t="n">
        <f aca="false">IF(AND(NOT(ISBLANK(creatives!F69)),NOT(ISNUMBER(MATCH(H68,data!J$2:J$29,0)))),1,0)</f>
        <v>0</v>
      </c>
      <c r="J68" s="17" t="str">
        <f aca="false">IF(NOT(ISBLANK(creatives!E69)),VLOOKUP(creatives!E69,data!M$2:N$38,2,0),"")</f>
        <v/>
      </c>
      <c r="K68" s="17" t="n">
        <f aca="false">IF(NOT(ISNUMBER(MATCH(J68,data!N$2:N$38,0))),1,0)</f>
        <v>1</v>
      </c>
      <c r="L68" s="18" t="str">
        <f aca="false">IF(NOT(ISBLANK(creatives!C69)),VLOOKUP(creatives!C69,data!$A$2:$B$705,2,0),"")</f>
        <v/>
      </c>
      <c r="M68" s="17" t="n">
        <f aca="false">IF(NOT(ISNUMBER(MATCH(L68,data!B$2:B$705,0))),1,0)</f>
        <v>1</v>
      </c>
      <c r="N68" s="19" t="b">
        <f aca="false">IF(NOT(A68),TRUE(),AND(A68,SUM(B68,C68,D68,E68,F68,G68,K68,M68,I68)=0))</f>
        <v>1</v>
      </c>
      <c r="O68" s="20" t="n">
        <v>67</v>
      </c>
      <c r="P68" s="19" t="b">
        <f aca="false">IF(A68,COUNTIF(A$2:A68, CONCATENATE("=", TRUE()))=O68, TRUE())</f>
        <v>1</v>
      </c>
      <c r="Q68" s="1" t="n">
        <f aca="false">IF(A68,O68,0)</f>
        <v>0</v>
      </c>
    </row>
    <row r="69" customFormat="false" ht="15.65" hidden="false" customHeight="false" outlineLevel="0" collapsed="false">
      <c r="A69" s="17" t="b">
        <f aca="false">COUNTIF(creatives!B70:J70, "*")&gt;0</f>
        <v>0</v>
      </c>
      <c r="B69" s="17" t="n">
        <f aca="false">IF(OR(NOT(ISTEXT(creatives!B70)), ISBLANK(creatives!B70), LEN(TRIM(creatives!B70))&gt;200), 1, 0)</f>
        <v>1</v>
      </c>
      <c r="C69" s="17" t="n">
        <f aca="false">IF(NOT(ISNUMBER(MATCH(creatives!D70,data!C$2:C$6,0))),1,0)</f>
        <v>1</v>
      </c>
      <c r="D69" s="17" t="n">
        <f aca="false">IF(OR(LEFT(creatives!G70,7)="http://",LEFT(creatives!G70,8)="https://"), 0, 1)</f>
        <v>1</v>
      </c>
      <c r="E69" s="17" t="n">
        <f aca="false">IF(OR(LEFT(creatives!H70,7)="http://",LEFT(creatives!H70,8)="https://"), 0, 1)</f>
        <v>1</v>
      </c>
      <c r="F69" s="17" t="n">
        <f aca="false">IF(NOT(ISNUMBER(MATCH(creatives!I70,data!G$2:G$6,0))),1,0)</f>
        <v>1</v>
      </c>
      <c r="G69" s="17" t="n">
        <f aca="false">IF(ISBLANK(creatives!J70), 1, 0)</f>
        <v>1</v>
      </c>
      <c r="H69" s="17" t="str">
        <f aca="false">IF(NOT(ISBLANK(creatives!F70)),VLOOKUP(creatives!F70,data!I$2:J$29,2,0),"")</f>
        <v/>
      </c>
      <c r="I69" s="17" t="n">
        <f aca="false">IF(AND(NOT(ISBLANK(creatives!F70)),NOT(ISNUMBER(MATCH(H69,data!J$2:J$29,0)))),1,0)</f>
        <v>0</v>
      </c>
      <c r="J69" s="17" t="str">
        <f aca="false">IF(NOT(ISBLANK(creatives!E70)),VLOOKUP(creatives!E70,data!M$2:N$38,2,0),"")</f>
        <v/>
      </c>
      <c r="K69" s="17" t="n">
        <f aca="false">IF(NOT(ISNUMBER(MATCH(J69,data!N$2:N$38,0))),1,0)</f>
        <v>1</v>
      </c>
      <c r="L69" s="18" t="str">
        <f aca="false">IF(NOT(ISBLANK(creatives!C70)),VLOOKUP(creatives!C70,data!$A$2:$B$705,2,0),"")</f>
        <v/>
      </c>
      <c r="M69" s="17" t="n">
        <f aca="false">IF(NOT(ISNUMBER(MATCH(L69,data!B$2:B$705,0))),1,0)</f>
        <v>1</v>
      </c>
      <c r="N69" s="19" t="b">
        <f aca="false">IF(NOT(A69),TRUE(),AND(A69,SUM(B69,C69,D69,E69,F69,G69,K69,M69,I69)=0))</f>
        <v>1</v>
      </c>
      <c r="O69" s="20" t="n">
        <v>68</v>
      </c>
      <c r="P69" s="19" t="b">
        <f aca="false">IF(A69,COUNTIF(A$2:A69, CONCATENATE("=", TRUE()))=O69, TRUE())</f>
        <v>1</v>
      </c>
      <c r="Q69" s="1" t="n">
        <f aca="false">IF(A69,O69,0)</f>
        <v>0</v>
      </c>
    </row>
    <row r="70" customFormat="false" ht="15.65" hidden="false" customHeight="false" outlineLevel="0" collapsed="false">
      <c r="A70" s="17" t="b">
        <f aca="false">COUNTIF(creatives!B71:J71, "*")&gt;0</f>
        <v>0</v>
      </c>
      <c r="B70" s="17" t="n">
        <f aca="false">IF(OR(NOT(ISTEXT(creatives!B71)), ISBLANK(creatives!B71), LEN(TRIM(creatives!B71))&gt;200), 1, 0)</f>
        <v>1</v>
      </c>
      <c r="C70" s="17" t="n">
        <f aca="false">IF(NOT(ISNUMBER(MATCH(creatives!D71,data!C$2:C$6,0))),1,0)</f>
        <v>1</v>
      </c>
      <c r="D70" s="17" t="n">
        <f aca="false">IF(OR(LEFT(creatives!G71,7)="http://",LEFT(creatives!G71,8)="https://"), 0, 1)</f>
        <v>1</v>
      </c>
      <c r="E70" s="17" t="n">
        <f aca="false">IF(OR(LEFT(creatives!H71,7)="http://",LEFT(creatives!H71,8)="https://"), 0, 1)</f>
        <v>1</v>
      </c>
      <c r="F70" s="17" t="n">
        <f aca="false">IF(NOT(ISNUMBER(MATCH(creatives!I71,data!G$2:G$6,0))),1,0)</f>
        <v>1</v>
      </c>
      <c r="G70" s="17" t="n">
        <f aca="false">IF(ISBLANK(creatives!J71), 1, 0)</f>
        <v>1</v>
      </c>
      <c r="H70" s="17" t="str">
        <f aca="false">IF(NOT(ISBLANK(creatives!F71)),VLOOKUP(creatives!F71,data!I$2:J$29,2,0),"")</f>
        <v/>
      </c>
      <c r="I70" s="17" t="n">
        <f aca="false">IF(AND(NOT(ISBLANK(creatives!F71)),NOT(ISNUMBER(MATCH(H70,data!J$2:J$29,0)))),1,0)</f>
        <v>0</v>
      </c>
      <c r="J70" s="17" t="str">
        <f aca="false">IF(NOT(ISBLANK(creatives!E71)),VLOOKUP(creatives!E71,data!M$2:N$38,2,0),"")</f>
        <v/>
      </c>
      <c r="K70" s="17" t="n">
        <f aca="false">IF(NOT(ISNUMBER(MATCH(J70,data!N$2:N$38,0))),1,0)</f>
        <v>1</v>
      </c>
      <c r="L70" s="18" t="str">
        <f aca="false">IF(NOT(ISBLANK(creatives!C71)),VLOOKUP(creatives!C71,data!$A$2:$B$705,2,0),"")</f>
        <v/>
      </c>
      <c r="M70" s="17" t="n">
        <f aca="false">IF(NOT(ISNUMBER(MATCH(L70,data!B$2:B$705,0))),1,0)</f>
        <v>1</v>
      </c>
      <c r="N70" s="19" t="b">
        <f aca="false">IF(NOT(A70),TRUE(),AND(A70,SUM(B70,C70,D70,E70,F70,G70,K70,M70,I70)=0))</f>
        <v>1</v>
      </c>
      <c r="O70" s="20" t="n">
        <v>69</v>
      </c>
      <c r="P70" s="19" t="b">
        <f aca="false">IF(A70,COUNTIF(A$2:A70, CONCATENATE("=", TRUE()))=O70, TRUE())</f>
        <v>1</v>
      </c>
      <c r="Q70" s="1" t="n">
        <f aca="false">IF(A70,O70,0)</f>
        <v>0</v>
      </c>
    </row>
    <row r="71" customFormat="false" ht="15.65" hidden="false" customHeight="false" outlineLevel="0" collapsed="false">
      <c r="A71" s="17" t="b">
        <f aca="false">COUNTIF(creatives!B72:J72, "*")&gt;0</f>
        <v>0</v>
      </c>
      <c r="B71" s="17" t="n">
        <f aca="false">IF(OR(NOT(ISTEXT(creatives!B72)), ISBLANK(creatives!B72), LEN(TRIM(creatives!B72))&gt;200), 1, 0)</f>
        <v>1</v>
      </c>
      <c r="C71" s="17" t="n">
        <f aca="false">IF(NOT(ISNUMBER(MATCH(creatives!D72,data!C$2:C$6,0))),1,0)</f>
        <v>1</v>
      </c>
      <c r="D71" s="17" t="n">
        <f aca="false">IF(OR(LEFT(creatives!G72,7)="http://",LEFT(creatives!G72,8)="https://"), 0, 1)</f>
        <v>1</v>
      </c>
      <c r="E71" s="17" t="n">
        <f aca="false">IF(OR(LEFT(creatives!H72,7)="http://",LEFT(creatives!H72,8)="https://"), 0, 1)</f>
        <v>1</v>
      </c>
      <c r="F71" s="17" t="n">
        <f aca="false">IF(NOT(ISNUMBER(MATCH(creatives!I72,data!G$2:G$6,0))),1,0)</f>
        <v>1</v>
      </c>
      <c r="G71" s="17" t="n">
        <f aca="false">IF(ISBLANK(creatives!J72), 1, 0)</f>
        <v>1</v>
      </c>
      <c r="H71" s="17" t="str">
        <f aca="false">IF(NOT(ISBLANK(creatives!F72)),VLOOKUP(creatives!F72,data!I$2:J$29,2,0),"")</f>
        <v/>
      </c>
      <c r="I71" s="17" t="n">
        <f aca="false">IF(AND(NOT(ISBLANK(creatives!F72)),NOT(ISNUMBER(MATCH(H71,data!J$2:J$29,0)))),1,0)</f>
        <v>0</v>
      </c>
      <c r="J71" s="17" t="str">
        <f aca="false">IF(NOT(ISBLANK(creatives!E72)),VLOOKUP(creatives!E72,data!M$2:N$38,2,0),"")</f>
        <v/>
      </c>
      <c r="K71" s="17" t="n">
        <f aca="false">IF(NOT(ISNUMBER(MATCH(J71,data!N$2:N$38,0))),1,0)</f>
        <v>1</v>
      </c>
      <c r="L71" s="18" t="str">
        <f aca="false">IF(NOT(ISBLANK(creatives!C72)),VLOOKUP(creatives!C72,data!$A$2:$B$705,2,0),"")</f>
        <v/>
      </c>
      <c r="M71" s="17" t="n">
        <f aca="false">IF(NOT(ISNUMBER(MATCH(L71,data!B$2:B$705,0))),1,0)</f>
        <v>1</v>
      </c>
      <c r="N71" s="19" t="b">
        <f aca="false">IF(NOT(A71),TRUE(),AND(A71,SUM(B71,C71,D71,E71,F71,G71,K71,M71,I71)=0))</f>
        <v>1</v>
      </c>
      <c r="O71" s="20" t="n">
        <v>70</v>
      </c>
      <c r="P71" s="19" t="b">
        <f aca="false">IF(A71,COUNTIF(A$2:A71, CONCATENATE("=", TRUE()))=O71, TRUE())</f>
        <v>1</v>
      </c>
      <c r="Q71" s="1" t="n">
        <f aca="false">IF(A71,O71,0)</f>
        <v>0</v>
      </c>
    </row>
    <row r="72" customFormat="false" ht="15.65" hidden="false" customHeight="false" outlineLevel="0" collapsed="false">
      <c r="A72" s="17" t="b">
        <f aca="false">COUNTIF(creatives!B73:J73, "*")&gt;0</f>
        <v>0</v>
      </c>
      <c r="B72" s="17" t="n">
        <f aca="false">IF(OR(NOT(ISTEXT(creatives!B73)), ISBLANK(creatives!B73), LEN(TRIM(creatives!B73))&gt;200), 1, 0)</f>
        <v>1</v>
      </c>
      <c r="C72" s="17" t="n">
        <f aca="false">IF(NOT(ISNUMBER(MATCH(creatives!D73,data!C$2:C$6,0))),1,0)</f>
        <v>1</v>
      </c>
      <c r="D72" s="17" t="n">
        <f aca="false">IF(OR(LEFT(creatives!G73,7)="http://",LEFT(creatives!G73,8)="https://"), 0, 1)</f>
        <v>1</v>
      </c>
      <c r="E72" s="17" t="n">
        <f aca="false">IF(OR(LEFT(creatives!H73,7)="http://",LEFT(creatives!H73,8)="https://"), 0, 1)</f>
        <v>1</v>
      </c>
      <c r="F72" s="17" t="n">
        <f aca="false">IF(NOT(ISNUMBER(MATCH(creatives!I73,data!G$2:G$6,0))),1,0)</f>
        <v>1</v>
      </c>
      <c r="G72" s="17" t="n">
        <f aca="false">IF(ISBLANK(creatives!J73), 1, 0)</f>
        <v>1</v>
      </c>
      <c r="H72" s="17" t="str">
        <f aca="false">IF(NOT(ISBLANK(creatives!F73)),VLOOKUP(creatives!F73,data!I$2:J$29,2,0),"")</f>
        <v/>
      </c>
      <c r="I72" s="17" t="n">
        <f aca="false">IF(AND(NOT(ISBLANK(creatives!F73)),NOT(ISNUMBER(MATCH(H72,data!J$2:J$29,0)))),1,0)</f>
        <v>0</v>
      </c>
      <c r="J72" s="17" t="str">
        <f aca="false">IF(NOT(ISBLANK(creatives!E73)),VLOOKUP(creatives!E73,data!M$2:N$38,2,0),"")</f>
        <v/>
      </c>
      <c r="K72" s="17" t="n">
        <f aca="false">IF(NOT(ISNUMBER(MATCH(J72,data!N$2:N$38,0))),1,0)</f>
        <v>1</v>
      </c>
      <c r="L72" s="18" t="str">
        <f aca="false">IF(NOT(ISBLANK(creatives!C73)),VLOOKUP(creatives!C73,data!$A$2:$B$705,2,0),"")</f>
        <v/>
      </c>
      <c r="M72" s="17" t="n">
        <f aca="false">IF(NOT(ISNUMBER(MATCH(L72,data!B$2:B$705,0))),1,0)</f>
        <v>1</v>
      </c>
      <c r="N72" s="19" t="b">
        <f aca="false">IF(NOT(A72),TRUE(),AND(A72,SUM(B72,C72,D72,E72,F72,G72,K72,M72,I72)=0))</f>
        <v>1</v>
      </c>
      <c r="O72" s="20" t="n">
        <v>71</v>
      </c>
      <c r="P72" s="19" t="b">
        <f aca="false">IF(A72,COUNTIF(A$2:A72, CONCATENATE("=", TRUE()))=O72, TRUE())</f>
        <v>1</v>
      </c>
      <c r="Q72" s="1" t="n">
        <f aca="false">IF(A72,O72,0)</f>
        <v>0</v>
      </c>
    </row>
    <row r="73" customFormat="false" ht="15.65" hidden="false" customHeight="false" outlineLevel="0" collapsed="false">
      <c r="A73" s="17" t="b">
        <f aca="false">COUNTIF(creatives!B74:J74, "*")&gt;0</f>
        <v>0</v>
      </c>
      <c r="B73" s="17" t="n">
        <f aca="false">IF(OR(NOT(ISTEXT(creatives!B74)), ISBLANK(creatives!B74), LEN(TRIM(creatives!B74))&gt;200), 1, 0)</f>
        <v>1</v>
      </c>
      <c r="C73" s="17" t="n">
        <f aca="false">IF(NOT(ISNUMBER(MATCH(creatives!D74,data!C$2:C$6,0))),1,0)</f>
        <v>1</v>
      </c>
      <c r="D73" s="17" t="n">
        <f aca="false">IF(OR(LEFT(creatives!G74,7)="http://",LEFT(creatives!G74,8)="https://"), 0, 1)</f>
        <v>1</v>
      </c>
      <c r="E73" s="17" t="n">
        <f aca="false">IF(OR(LEFT(creatives!H74,7)="http://",LEFT(creatives!H74,8)="https://"), 0, 1)</f>
        <v>1</v>
      </c>
      <c r="F73" s="17" t="n">
        <f aca="false">IF(NOT(ISNUMBER(MATCH(creatives!I74,data!G$2:G$6,0))),1,0)</f>
        <v>1</v>
      </c>
      <c r="G73" s="17" t="n">
        <f aca="false">IF(ISBLANK(creatives!J74), 1, 0)</f>
        <v>1</v>
      </c>
      <c r="H73" s="17" t="str">
        <f aca="false">IF(NOT(ISBLANK(creatives!F74)),VLOOKUP(creatives!F74,data!I$2:J$29,2,0),"")</f>
        <v/>
      </c>
      <c r="I73" s="17" t="n">
        <f aca="false">IF(AND(NOT(ISBLANK(creatives!F74)),NOT(ISNUMBER(MATCH(H73,data!J$2:J$29,0)))),1,0)</f>
        <v>0</v>
      </c>
      <c r="J73" s="17" t="str">
        <f aca="false">IF(NOT(ISBLANK(creatives!E74)),VLOOKUP(creatives!E74,data!M$2:N$38,2,0),"")</f>
        <v/>
      </c>
      <c r="K73" s="17" t="n">
        <f aca="false">IF(NOT(ISNUMBER(MATCH(J73,data!N$2:N$38,0))),1,0)</f>
        <v>1</v>
      </c>
      <c r="L73" s="18" t="str">
        <f aca="false">IF(NOT(ISBLANK(creatives!C74)),VLOOKUP(creatives!C74,data!$A$2:$B$705,2,0),"")</f>
        <v/>
      </c>
      <c r="M73" s="17" t="n">
        <f aca="false">IF(NOT(ISNUMBER(MATCH(L73,data!B$2:B$705,0))),1,0)</f>
        <v>1</v>
      </c>
      <c r="N73" s="19" t="b">
        <f aca="false">IF(NOT(A73),TRUE(),AND(A73,SUM(B73,C73,D73,E73,F73,G73,K73,M73,I73)=0))</f>
        <v>1</v>
      </c>
      <c r="O73" s="20" t="n">
        <v>72</v>
      </c>
      <c r="P73" s="19" t="b">
        <f aca="false">IF(A73,COUNTIF(A$2:A73, CONCATENATE("=", TRUE()))=O73, TRUE())</f>
        <v>1</v>
      </c>
      <c r="Q73" s="1" t="n">
        <f aca="false">IF(A73,O73,0)</f>
        <v>0</v>
      </c>
    </row>
    <row r="74" customFormat="false" ht="15.65" hidden="false" customHeight="false" outlineLevel="0" collapsed="false">
      <c r="A74" s="17" t="b">
        <f aca="false">COUNTIF(creatives!B75:J75, "*")&gt;0</f>
        <v>0</v>
      </c>
      <c r="B74" s="17" t="n">
        <f aca="false">IF(OR(NOT(ISTEXT(creatives!B75)), ISBLANK(creatives!B75), LEN(TRIM(creatives!B75))&gt;200), 1, 0)</f>
        <v>1</v>
      </c>
      <c r="C74" s="17" t="n">
        <f aca="false">IF(NOT(ISNUMBER(MATCH(creatives!D75,data!C$2:C$6,0))),1,0)</f>
        <v>1</v>
      </c>
      <c r="D74" s="17" t="n">
        <f aca="false">IF(OR(LEFT(creatives!G75,7)="http://",LEFT(creatives!G75,8)="https://"), 0, 1)</f>
        <v>1</v>
      </c>
      <c r="E74" s="17" t="n">
        <f aca="false">IF(OR(LEFT(creatives!H75,7)="http://",LEFT(creatives!H75,8)="https://"), 0, 1)</f>
        <v>1</v>
      </c>
      <c r="F74" s="17" t="n">
        <f aca="false">IF(NOT(ISNUMBER(MATCH(creatives!I75,data!G$2:G$6,0))),1,0)</f>
        <v>1</v>
      </c>
      <c r="G74" s="17" t="n">
        <f aca="false">IF(ISBLANK(creatives!J75), 1, 0)</f>
        <v>1</v>
      </c>
      <c r="H74" s="17" t="str">
        <f aca="false">IF(NOT(ISBLANK(creatives!F75)),VLOOKUP(creatives!F75,data!I$2:J$29,2,0),"")</f>
        <v/>
      </c>
      <c r="I74" s="17" t="n">
        <f aca="false">IF(AND(NOT(ISBLANK(creatives!F75)),NOT(ISNUMBER(MATCH(H74,data!J$2:J$29,0)))),1,0)</f>
        <v>0</v>
      </c>
      <c r="J74" s="17" t="str">
        <f aca="false">IF(NOT(ISBLANK(creatives!E75)),VLOOKUP(creatives!E75,data!M$2:N$38,2,0),"")</f>
        <v/>
      </c>
      <c r="K74" s="17" t="n">
        <f aca="false">IF(NOT(ISNUMBER(MATCH(J74,data!N$2:N$38,0))),1,0)</f>
        <v>1</v>
      </c>
      <c r="L74" s="18" t="str">
        <f aca="false">IF(NOT(ISBLANK(creatives!C75)),VLOOKUP(creatives!C75,data!$A$2:$B$705,2,0),"")</f>
        <v/>
      </c>
      <c r="M74" s="17" t="n">
        <f aca="false">IF(NOT(ISNUMBER(MATCH(L74,data!B$2:B$705,0))),1,0)</f>
        <v>1</v>
      </c>
      <c r="N74" s="19" t="b">
        <f aca="false">IF(NOT(A74),TRUE(),AND(A74,SUM(B74,C74,D74,E74,F74,G74,K74,M74,I74)=0))</f>
        <v>1</v>
      </c>
      <c r="O74" s="20" t="n">
        <v>73</v>
      </c>
      <c r="P74" s="19" t="b">
        <f aca="false">IF(A74,COUNTIF(A$2:A74, CONCATENATE("=", TRUE()))=O74, TRUE())</f>
        <v>1</v>
      </c>
      <c r="Q74" s="1" t="n">
        <f aca="false">IF(A74,O74,0)</f>
        <v>0</v>
      </c>
    </row>
    <row r="75" customFormat="false" ht="15.65" hidden="false" customHeight="false" outlineLevel="0" collapsed="false">
      <c r="A75" s="17" t="b">
        <f aca="false">COUNTIF(creatives!B76:J76, "*")&gt;0</f>
        <v>0</v>
      </c>
      <c r="B75" s="17" t="n">
        <f aca="false">IF(OR(NOT(ISTEXT(creatives!B76)), ISBLANK(creatives!B76), LEN(TRIM(creatives!B76))&gt;200), 1, 0)</f>
        <v>1</v>
      </c>
      <c r="C75" s="17" t="n">
        <f aca="false">IF(NOT(ISNUMBER(MATCH(creatives!D76,data!C$2:C$6,0))),1,0)</f>
        <v>1</v>
      </c>
      <c r="D75" s="17" t="n">
        <f aca="false">IF(OR(LEFT(creatives!G76,7)="http://",LEFT(creatives!G76,8)="https://"), 0, 1)</f>
        <v>1</v>
      </c>
      <c r="E75" s="17" t="n">
        <f aca="false">IF(OR(LEFT(creatives!H76,7)="http://",LEFT(creatives!H76,8)="https://"), 0, 1)</f>
        <v>1</v>
      </c>
      <c r="F75" s="17" t="n">
        <f aca="false">IF(NOT(ISNUMBER(MATCH(creatives!I76,data!G$2:G$6,0))),1,0)</f>
        <v>1</v>
      </c>
      <c r="G75" s="17" t="n">
        <f aca="false">IF(ISBLANK(creatives!J76), 1, 0)</f>
        <v>1</v>
      </c>
      <c r="H75" s="17" t="str">
        <f aca="false">IF(NOT(ISBLANK(creatives!F76)),VLOOKUP(creatives!F76,data!I$2:J$29,2,0),"")</f>
        <v/>
      </c>
      <c r="I75" s="17" t="n">
        <f aca="false">IF(AND(NOT(ISBLANK(creatives!F76)),NOT(ISNUMBER(MATCH(H75,data!J$2:J$29,0)))),1,0)</f>
        <v>0</v>
      </c>
      <c r="J75" s="17" t="str">
        <f aca="false">IF(NOT(ISBLANK(creatives!E76)),VLOOKUP(creatives!E76,data!M$2:N$38,2,0),"")</f>
        <v/>
      </c>
      <c r="K75" s="17" t="n">
        <f aca="false">IF(NOT(ISNUMBER(MATCH(J75,data!N$2:N$38,0))),1,0)</f>
        <v>1</v>
      </c>
      <c r="L75" s="18" t="str">
        <f aca="false">IF(NOT(ISBLANK(creatives!C76)),VLOOKUP(creatives!C76,data!$A$2:$B$705,2,0),"")</f>
        <v/>
      </c>
      <c r="M75" s="17" t="n">
        <f aca="false">IF(NOT(ISNUMBER(MATCH(L75,data!B$2:B$705,0))),1,0)</f>
        <v>1</v>
      </c>
      <c r="N75" s="19" t="b">
        <f aca="false">IF(NOT(A75),TRUE(),AND(A75,SUM(B75,C75,D75,E75,F75,G75,K75,M75,I75)=0))</f>
        <v>1</v>
      </c>
      <c r="O75" s="20" t="n">
        <v>74</v>
      </c>
      <c r="P75" s="19" t="b">
        <f aca="false">IF(A75,COUNTIF(A$2:A75, CONCATENATE("=", TRUE()))=O75, TRUE())</f>
        <v>1</v>
      </c>
      <c r="Q75" s="1" t="n">
        <f aca="false">IF(A75,O75,0)</f>
        <v>0</v>
      </c>
    </row>
    <row r="76" customFormat="false" ht="15.65" hidden="false" customHeight="false" outlineLevel="0" collapsed="false">
      <c r="A76" s="17" t="b">
        <f aca="false">COUNTIF(creatives!B77:J77, "*")&gt;0</f>
        <v>0</v>
      </c>
      <c r="B76" s="17" t="n">
        <f aca="false">IF(OR(NOT(ISTEXT(creatives!B77)), ISBLANK(creatives!B77), LEN(TRIM(creatives!B77))&gt;200), 1, 0)</f>
        <v>1</v>
      </c>
      <c r="C76" s="17" t="n">
        <f aca="false">IF(NOT(ISNUMBER(MATCH(creatives!D77,data!C$2:C$6,0))),1,0)</f>
        <v>1</v>
      </c>
      <c r="D76" s="17" t="n">
        <f aca="false">IF(OR(LEFT(creatives!G77,7)="http://",LEFT(creatives!G77,8)="https://"), 0, 1)</f>
        <v>1</v>
      </c>
      <c r="E76" s="17" t="n">
        <f aca="false">IF(OR(LEFT(creatives!H77,7)="http://",LEFT(creatives!H77,8)="https://"), 0, 1)</f>
        <v>1</v>
      </c>
      <c r="F76" s="17" t="n">
        <f aca="false">IF(NOT(ISNUMBER(MATCH(creatives!I77,data!G$2:G$6,0))),1,0)</f>
        <v>1</v>
      </c>
      <c r="G76" s="17" t="n">
        <f aca="false">IF(ISBLANK(creatives!J77), 1, 0)</f>
        <v>1</v>
      </c>
      <c r="H76" s="17" t="str">
        <f aca="false">IF(NOT(ISBLANK(creatives!F77)),VLOOKUP(creatives!F77,data!I$2:J$29,2,0),"")</f>
        <v/>
      </c>
      <c r="I76" s="17" t="n">
        <f aca="false">IF(AND(NOT(ISBLANK(creatives!F77)),NOT(ISNUMBER(MATCH(H76,data!J$2:J$29,0)))),1,0)</f>
        <v>0</v>
      </c>
      <c r="J76" s="17" t="str">
        <f aca="false">IF(NOT(ISBLANK(creatives!E77)),VLOOKUP(creatives!E77,data!M$2:N$38,2,0),"")</f>
        <v/>
      </c>
      <c r="K76" s="17" t="n">
        <f aca="false">IF(NOT(ISNUMBER(MATCH(J76,data!N$2:N$38,0))),1,0)</f>
        <v>1</v>
      </c>
      <c r="L76" s="18" t="str">
        <f aca="false">IF(NOT(ISBLANK(creatives!C77)),VLOOKUP(creatives!C77,data!$A$2:$B$705,2,0),"")</f>
        <v/>
      </c>
      <c r="M76" s="17" t="n">
        <f aca="false">IF(NOT(ISNUMBER(MATCH(L76,data!B$2:B$705,0))),1,0)</f>
        <v>1</v>
      </c>
      <c r="N76" s="19" t="b">
        <f aca="false">IF(NOT(A76),TRUE(),AND(A76,SUM(B76,C76,D76,E76,F76,G76,K76,M76,I76)=0))</f>
        <v>1</v>
      </c>
      <c r="O76" s="20" t="n">
        <v>75</v>
      </c>
      <c r="P76" s="19" t="b">
        <f aca="false">IF(A76,COUNTIF(A$2:A76, CONCATENATE("=", TRUE()))=O76, TRUE())</f>
        <v>1</v>
      </c>
      <c r="Q76" s="1" t="n">
        <f aca="false">IF(A76,O76,0)</f>
        <v>0</v>
      </c>
    </row>
    <row r="77" customFormat="false" ht="15.65" hidden="false" customHeight="false" outlineLevel="0" collapsed="false">
      <c r="A77" s="17" t="b">
        <f aca="false">COUNTIF(creatives!B78:J78, "*")&gt;0</f>
        <v>0</v>
      </c>
      <c r="B77" s="17" t="n">
        <f aca="false">IF(OR(NOT(ISTEXT(creatives!B78)), ISBLANK(creatives!B78), LEN(TRIM(creatives!B78))&gt;200), 1, 0)</f>
        <v>1</v>
      </c>
      <c r="C77" s="17" t="n">
        <f aca="false">IF(NOT(ISNUMBER(MATCH(creatives!D78,data!C$2:C$6,0))),1,0)</f>
        <v>1</v>
      </c>
      <c r="D77" s="17" t="n">
        <f aca="false">IF(OR(LEFT(creatives!G78,7)="http://",LEFT(creatives!G78,8)="https://"), 0, 1)</f>
        <v>1</v>
      </c>
      <c r="E77" s="17" t="n">
        <f aca="false">IF(OR(LEFT(creatives!H78,7)="http://",LEFT(creatives!H78,8)="https://"), 0, 1)</f>
        <v>1</v>
      </c>
      <c r="F77" s="17" t="n">
        <f aca="false">IF(NOT(ISNUMBER(MATCH(creatives!I78,data!G$2:G$6,0))),1,0)</f>
        <v>1</v>
      </c>
      <c r="G77" s="17" t="n">
        <f aca="false">IF(ISBLANK(creatives!J78), 1, 0)</f>
        <v>1</v>
      </c>
      <c r="H77" s="17" t="str">
        <f aca="false">IF(NOT(ISBLANK(creatives!F78)),VLOOKUP(creatives!F78,data!I$2:J$29,2,0),"")</f>
        <v/>
      </c>
      <c r="I77" s="17" t="n">
        <f aca="false">IF(AND(NOT(ISBLANK(creatives!F78)),NOT(ISNUMBER(MATCH(H77,data!J$2:J$29,0)))),1,0)</f>
        <v>0</v>
      </c>
      <c r="J77" s="17" t="str">
        <f aca="false">IF(NOT(ISBLANK(creatives!E78)),VLOOKUP(creatives!E78,data!M$2:N$38,2,0),"")</f>
        <v/>
      </c>
      <c r="K77" s="17" t="n">
        <f aca="false">IF(NOT(ISNUMBER(MATCH(J77,data!N$2:N$38,0))),1,0)</f>
        <v>1</v>
      </c>
      <c r="L77" s="18" t="str">
        <f aca="false">IF(NOT(ISBLANK(creatives!C78)),VLOOKUP(creatives!C78,data!$A$2:$B$705,2,0),"")</f>
        <v/>
      </c>
      <c r="M77" s="17" t="n">
        <f aca="false">IF(NOT(ISNUMBER(MATCH(L77,data!B$2:B$705,0))),1,0)</f>
        <v>1</v>
      </c>
      <c r="N77" s="19" t="b">
        <f aca="false">IF(NOT(A77),TRUE(),AND(A77,SUM(B77,C77,D77,E77,F77,G77,K77,M77,I77)=0))</f>
        <v>1</v>
      </c>
      <c r="O77" s="20" t="n">
        <v>76</v>
      </c>
      <c r="P77" s="19" t="b">
        <f aca="false">IF(A77,COUNTIF(A$2:A77, CONCATENATE("=", TRUE()))=O77, TRUE())</f>
        <v>1</v>
      </c>
      <c r="Q77" s="1" t="n">
        <f aca="false">IF(A77,O77,0)</f>
        <v>0</v>
      </c>
    </row>
    <row r="78" customFormat="false" ht="15.65" hidden="false" customHeight="false" outlineLevel="0" collapsed="false">
      <c r="A78" s="17" t="b">
        <f aca="false">COUNTIF(creatives!B79:J79, "*")&gt;0</f>
        <v>0</v>
      </c>
      <c r="B78" s="17" t="n">
        <f aca="false">IF(OR(NOT(ISTEXT(creatives!B79)), ISBLANK(creatives!B79), LEN(TRIM(creatives!B79))&gt;200), 1, 0)</f>
        <v>1</v>
      </c>
      <c r="C78" s="17" t="n">
        <f aca="false">IF(NOT(ISNUMBER(MATCH(creatives!D79,data!C$2:C$6,0))),1,0)</f>
        <v>1</v>
      </c>
      <c r="D78" s="17" t="n">
        <f aca="false">IF(OR(LEFT(creatives!G79,7)="http://",LEFT(creatives!G79,8)="https://"), 0, 1)</f>
        <v>1</v>
      </c>
      <c r="E78" s="17" t="n">
        <f aca="false">IF(OR(LEFT(creatives!H79,7)="http://",LEFT(creatives!H79,8)="https://"), 0, 1)</f>
        <v>1</v>
      </c>
      <c r="F78" s="17" t="n">
        <f aca="false">IF(NOT(ISNUMBER(MATCH(creatives!I79,data!G$2:G$6,0))),1,0)</f>
        <v>1</v>
      </c>
      <c r="G78" s="17" t="n">
        <f aca="false">IF(ISBLANK(creatives!J79), 1, 0)</f>
        <v>1</v>
      </c>
      <c r="H78" s="17" t="str">
        <f aca="false">IF(NOT(ISBLANK(creatives!F79)),VLOOKUP(creatives!F79,data!I$2:J$29,2,0),"")</f>
        <v/>
      </c>
      <c r="I78" s="17" t="n">
        <f aca="false">IF(AND(NOT(ISBLANK(creatives!F79)),NOT(ISNUMBER(MATCH(H78,data!J$2:J$29,0)))),1,0)</f>
        <v>0</v>
      </c>
      <c r="J78" s="17" t="str">
        <f aca="false">IF(NOT(ISBLANK(creatives!E79)),VLOOKUP(creatives!E79,data!M$2:N$38,2,0),"")</f>
        <v/>
      </c>
      <c r="K78" s="17" t="n">
        <f aca="false">IF(NOT(ISNUMBER(MATCH(J78,data!N$2:N$38,0))),1,0)</f>
        <v>1</v>
      </c>
      <c r="L78" s="18" t="str">
        <f aca="false">IF(NOT(ISBLANK(creatives!C79)),VLOOKUP(creatives!C79,data!$A$2:$B$705,2,0),"")</f>
        <v/>
      </c>
      <c r="M78" s="17" t="n">
        <f aca="false">IF(NOT(ISNUMBER(MATCH(L78,data!B$2:B$705,0))),1,0)</f>
        <v>1</v>
      </c>
      <c r="N78" s="19" t="b">
        <f aca="false">IF(NOT(A78),TRUE(),AND(A78,SUM(B78,C78,D78,E78,F78,G78,K78,M78,I78)=0))</f>
        <v>1</v>
      </c>
      <c r="O78" s="20" t="n">
        <v>77</v>
      </c>
      <c r="P78" s="19" t="b">
        <f aca="false">IF(A78,COUNTIF(A$2:A78, CONCATENATE("=", TRUE()))=O78, TRUE())</f>
        <v>1</v>
      </c>
      <c r="Q78" s="1" t="n">
        <f aca="false">IF(A78,O78,0)</f>
        <v>0</v>
      </c>
    </row>
    <row r="79" customFormat="false" ht="15.65" hidden="false" customHeight="false" outlineLevel="0" collapsed="false">
      <c r="A79" s="17" t="b">
        <f aca="false">COUNTIF(creatives!B80:J80, "*")&gt;0</f>
        <v>0</v>
      </c>
      <c r="B79" s="17" t="n">
        <f aca="false">IF(OR(NOT(ISTEXT(creatives!B80)), ISBLANK(creatives!B80), LEN(TRIM(creatives!B80))&gt;200), 1, 0)</f>
        <v>1</v>
      </c>
      <c r="C79" s="17" t="n">
        <f aca="false">IF(NOT(ISNUMBER(MATCH(creatives!D80,data!C$2:C$6,0))),1,0)</f>
        <v>1</v>
      </c>
      <c r="D79" s="17" t="n">
        <f aca="false">IF(OR(LEFT(creatives!G80,7)="http://",LEFT(creatives!G80,8)="https://"), 0, 1)</f>
        <v>1</v>
      </c>
      <c r="E79" s="17" t="n">
        <f aca="false">IF(OR(LEFT(creatives!H80,7)="http://",LEFT(creatives!H80,8)="https://"), 0, 1)</f>
        <v>1</v>
      </c>
      <c r="F79" s="17" t="n">
        <f aca="false">IF(NOT(ISNUMBER(MATCH(creatives!I80,data!G$2:G$6,0))),1,0)</f>
        <v>1</v>
      </c>
      <c r="G79" s="17" t="n">
        <f aca="false">IF(ISBLANK(creatives!J80), 1, 0)</f>
        <v>1</v>
      </c>
      <c r="H79" s="17" t="str">
        <f aca="false">IF(NOT(ISBLANK(creatives!F80)),VLOOKUP(creatives!F80,data!I$2:J$29,2,0),"")</f>
        <v/>
      </c>
      <c r="I79" s="17" t="n">
        <f aca="false">IF(AND(NOT(ISBLANK(creatives!F80)),NOT(ISNUMBER(MATCH(H79,data!J$2:J$29,0)))),1,0)</f>
        <v>0</v>
      </c>
      <c r="J79" s="17" t="str">
        <f aca="false">IF(NOT(ISBLANK(creatives!E80)),VLOOKUP(creatives!E80,data!M$2:N$38,2,0),"")</f>
        <v/>
      </c>
      <c r="K79" s="17" t="n">
        <f aca="false">IF(NOT(ISNUMBER(MATCH(J79,data!N$2:N$38,0))),1,0)</f>
        <v>1</v>
      </c>
      <c r="L79" s="18" t="str">
        <f aca="false">IF(NOT(ISBLANK(creatives!C80)),VLOOKUP(creatives!C80,data!$A$2:$B$705,2,0),"")</f>
        <v/>
      </c>
      <c r="M79" s="17" t="n">
        <f aca="false">IF(NOT(ISNUMBER(MATCH(L79,data!B$2:B$705,0))),1,0)</f>
        <v>1</v>
      </c>
      <c r="N79" s="19" t="b">
        <f aca="false">IF(NOT(A79),TRUE(),AND(A79,SUM(B79,C79,D79,E79,F79,G79,K79,M79,I79)=0))</f>
        <v>1</v>
      </c>
      <c r="O79" s="20" t="n">
        <v>78</v>
      </c>
      <c r="P79" s="19" t="b">
        <f aca="false">IF(A79,COUNTIF(A$2:A79, CONCATENATE("=", TRUE()))=O79, TRUE())</f>
        <v>1</v>
      </c>
      <c r="Q79" s="1" t="n">
        <f aca="false">IF(A79,O79,0)</f>
        <v>0</v>
      </c>
    </row>
    <row r="80" customFormat="false" ht="15.65" hidden="false" customHeight="false" outlineLevel="0" collapsed="false">
      <c r="A80" s="17" t="b">
        <f aca="false">COUNTIF(creatives!B81:J81, "*")&gt;0</f>
        <v>0</v>
      </c>
      <c r="B80" s="17" t="n">
        <f aca="false">IF(OR(NOT(ISTEXT(creatives!B81)), ISBLANK(creatives!B81), LEN(TRIM(creatives!B81))&gt;200), 1, 0)</f>
        <v>1</v>
      </c>
      <c r="C80" s="17" t="n">
        <f aca="false">IF(NOT(ISNUMBER(MATCH(creatives!D81,data!C$2:C$6,0))),1,0)</f>
        <v>1</v>
      </c>
      <c r="D80" s="17" t="n">
        <f aca="false">IF(OR(LEFT(creatives!G81,7)="http://",LEFT(creatives!G81,8)="https://"), 0, 1)</f>
        <v>1</v>
      </c>
      <c r="E80" s="17" t="n">
        <f aca="false">IF(OR(LEFT(creatives!H81,7)="http://",LEFT(creatives!H81,8)="https://"), 0, 1)</f>
        <v>1</v>
      </c>
      <c r="F80" s="17" t="n">
        <f aca="false">IF(NOT(ISNUMBER(MATCH(creatives!I81,data!G$2:G$6,0))),1,0)</f>
        <v>1</v>
      </c>
      <c r="G80" s="17" t="n">
        <f aca="false">IF(ISBLANK(creatives!J81), 1, 0)</f>
        <v>1</v>
      </c>
      <c r="H80" s="17" t="str">
        <f aca="false">IF(NOT(ISBLANK(creatives!F81)),VLOOKUP(creatives!F81,data!I$2:J$29,2,0),"")</f>
        <v/>
      </c>
      <c r="I80" s="17" t="n">
        <f aca="false">IF(AND(NOT(ISBLANK(creatives!F81)),NOT(ISNUMBER(MATCH(H80,data!J$2:J$29,0)))),1,0)</f>
        <v>0</v>
      </c>
      <c r="J80" s="17" t="str">
        <f aca="false">IF(NOT(ISBLANK(creatives!E81)),VLOOKUP(creatives!E81,data!M$2:N$38,2,0),"")</f>
        <v/>
      </c>
      <c r="K80" s="17" t="n">
        <f aca="false">IF(NOT(ISNUMBER(MATCH(J80,data!N$2:N$38,0))),1,0)</f>
        <v>1</v>
      </c>
      <c r="L80" s="18" t="str">
        <f aca="false">IF(NOT(ISBLANK(creatives!C81)),VLOOKUP(creatives!C81,data!$A$2:$B$705,2,0),"")</f>
        <v/>
      </c>
      <c r="M80" s="17" t="n">
        <f aca="false">IF(NOT(ISNUMBER(MATCH(L80,data!B$2:B$705,0))),1,0)</f>
        <v>1</v>
      </c>
      <c r="N80" s="19" t="b">
        <f aca="false">IF(NOT(A80),TRUE(),AND(A80,SUM(B80,C80,D80,E80,F80,G80,K80,M80,I80)=0))</f>
        <v>1</v>
      </c>
      <c r="O80" s="20" t="n">
        <v>79</v>
      </c>
      <c r="P80" s="19" t="b">
        <f aca="false">IF(A80,COUNTIF(A$2:A80, CONCATENATE("=", TRUE()))=O80, TRUE())</f>
        <v>1</v>
      </c>
      <c r="Q80" s="1" t="n">
        <f aca="false">IF(A80,O80,0)</f>
        <v>0</v>
      </c>
    </row>
    <row r="81" customFormat="false" ht="15.65" hidden="false" customHeight="false" outlineLevel="0" collapsed="false">
      <c r="A81" s="17" t="b">
        <f aca="false">COUNTIF(creatives!B82:J82, "*")&gt;0</f>
        <v>0</v>
      </c>
      <c r="B81" s="17" t="n">
        <f aca="false">IF(OR(NOT(ISTEXT(creatives!B82)), ISBLANK(creatives!B82), LEN(TRIM(creatives!B82))&gt;200), 1, 0)</f>
        <v>1</v>
      </c>
      <c r="C81" s="17" t="n">
        <f aca="false">IF(NOT(ISNUMBER(MATCH(creatives!D82,data!C$2:C$6,0))),1,0)</f>
        <v>1</v>
      </c>
      <c r="D81" s="17" t="n">
        <f aca="false">IF(OR(LEFT(creatives!G82,7)="http://",LEFT(creatives!G82,8)="https://"), 0, 1)</f>
        <v>1</v>
      </c>
      <c r="E81" s="17" t="n">
        <f aca="false">IF(OR(LEFT(creatives!H82,7)="http://",LEFT(creatives!H82,8)="https://"), 0, 1)</f>
        <v>1</v>
      </c>
      <c r="F81" s="17" t="n">
        <f aca="false">IF(NOT(ISNUMBER(MATCH(creatives!I82,data!G$2:G$6,0))),1,0)</f>
        <v>1</v>
      </c>
      <c r="G81" s="17" t="n">
        <f aca="false">IF(ISBLANK(creatives!J82), 1, 0)</f>
        <v>1</v>
      </c>
      <c r="H81" s="17" t="str">
        <f aca="false">IF(NOT(ISBLANK(creatives!F82)),VLOOKUP(creatives!F82,data!I$2:J$29,2,0),"")</f>
        <v/>
      </c>
      <c r="I81" s="17" t="n">
        <f aca="false">IF(AND(NOT(ISBLANK(creatives!F82)),NOT(ISNUMBER(MATCH(H81,data!J$2:J$29,0)))),1,0)</f>
        <v>0</v>
      </c>
      <c r="J81" s="17" t="str">
        <f aca="false">IF(NOT(ISBLANK(creatives!E82)),VLOOKUP(creatives!E82,data!M$2:N$38,2,0),"")</f>
        <v/>
      </c>
      <c r="K81" s="17" t="n">
        <f aca="false">IF(NOT(ISNUMBER(MATCH(J81,data!N$2:N$38,0))),1,0)</f>
        <v>1</v>
      </c>
      <c r="L81" s="18" t="str">
        <f aca="false">IF(NOT(ISBLANK(creatives!C82)),VLOOKUP(creatives!C82,data!$A$2:$B$705,2,0),"")</f>
        <v/>
      </c>
      <c r="M81" s="17" t="n">
        <f aca="false">IF(NOT(ISNUMBER(MATCH(L81,data!B$2:B$705,0))),1,0)</f>
        <v>1</v>
      </c>
      <c r="N81" s="19" t="b">
        <f aca="false">IF(NOT(A81),TRUE(),AND(A81,SUM(B81,C81,D81,E81,F81,G81,K81,M81,I81)=0))</f>
        <v>1</v>
      </c>
      <c r="O81" s="20" t="n">
        <v>80</v>
      </c>
      <c r="P81" s="19" t="b">
        <f aca="false">IF(A81,COUNTIF(A$2:A81, CONCATENATE("=", TRUE()))=O81, TRUE())</f>
        <v>1</v>
      </c>
      <c r="Q81" s="1" t="n">
        <f aca="false">IF(A81,O81,0)</f>
        <v>0</v>
      </c>
    </row>
    <row r="82" customFormat="false" ht="15.65" hidden="false" customHeight="false" outlineLevel="0" collapsed="false">
      <c r="A82" s="17" t="b">
        <f aca="false">COUNTIF(creatives!B83:J83, "*")&gt;0</f>
        <v>0</v>
      </c>
      <c r="B82" s="17" t="n">
        <f aca="false">IF(OR(NOT(ISTEXT(creatives!B83)), ISBLANK(creatives!B83), LEN(TRIM(creatives!B83))&gt;200), 1, 0)</f>
        <v>1</v>
      </c>
      <c r="C82" s="17" t="n">
        <f aca="false">IF(NOT(ISNUMBER(MATCH(creatives!D83,data!C$2:C$6,0))),1,0)</f>
        <v>1</v>
      </c>
      <c r="D82" s="17" t="n">
        <f aca="false">IF(OR(LEFT(creatives!G83,7)="http://",LEFT(creatives!G83,8)="https://"), 0, 1)</f>
        <v>1</v>
      </c>
      <c r="E82" s="17" t="n">
        <f aca="false">IF(OR(LEFT(creatives!H83,7)="http://",LEFT(creatives!H83,8)="https://"), 0, 1)</f>
        <v>1</v>
      </c>
      <c r="F82" s="17" t="n">
        <f aca="false">IF(NOT(ISNUMBER(MATCH(creatives!I83,data!G$2:G$6,0))),1,0)</f>
        <v>1</v>
      </c>
      <c r="G82" s="17" t="n">
        <f aca="false">IF(ISBLANK(creatives!J83), 1, 0)</f>
        <v>1</v>
      </c>
      <c r="H82" s="17" t="str">
        <f aca="false">IF(NOT(ISBLANK(creatives!F83)),VLOOKUP(creatives!F83,data!I$2:J$29,2,0),"")</f>
        <v/>
      </c>
      <c r="I82" s="17" t="n">
        <f aca="false">IF(AND(NOT(ISBLANK(creatives!F83)),NOT(ISNUMBER(MATCH(H82,data!J$2:J$29,0)))),1,0)</f>
        <v>0</v>
      </c>
      <c r="J82" s="17" t="str">
        <f aca="false">IF(NOT(ISBLANK(creatives!E83)),VLOOKUP(creatives!E83,data!M$2:N$38,2,0),"")</f>
        <v/>
      </c>
      <c r="K82" s="17" t="n">
        <f aca="false">IF(NOT(ISNUMBER(MATCH(J82,data!N$2:N$38,0))),1,0)</f>
        <v>1</v>
      </c>
      <c r="L82" s="18" t="str">
        <f aca="false">IF(NOT(ISBLANK(creatives!C83)),VLOOKUP(creatives!C83,data!$A$2:$B$705,2,0),"")</f>
        <v/>
      </c>
      <c r="M82" s="17" t="n">
        <f aca="false">IF(NOT(ISNUMBER(MATCH(L82,data!B$2:B$705,0))),1,0)</f>
        <v>1</v>
      </c>
      <c r="N82" s="19" t="b">
        <f aca="false">IF(NOT(A82),TRUE(),AND(A82,SUM(B82,C82,D82,E82,F82,G82,K82,M82,I82)=0))</f>
        <v>1</v>
      </c>
      <c r="O82" s="20" t="n">
        <v>81</v>
      </c>
      <c r="P82" s="19" t="b">
        <f aca="false">IF(A82,COUNTIF(A$2:A82, CONCATENATE("=", TRUE()))=O82, TRUE())</f>
        <v>1</v>
      </c>
      <c r="Q82" s="1" t="n">
        <f aca="false">IF(A82,O82,0)</f>
        <v>0</v>
      </c>
    </row>
    <row r="83" customFormat="false" ht="15.65" hidden="false" customHeight="false" outlineLevel="0" collapsed="false">
      <c r="A83" s="17" t="b">
        <f aca="false">COUNTIF(creatives!B84:J84, "*")&gt;0</f>
        <v>0</v>
      </c>
      <c r="B83" s="17" t="n">
        <f aca="false">IF(OR(NOT(ISTEXT(creatives!B84)), ISBLANK(creatives!B84), LEN(TRIM(creatives!B84))&gt;200), 1, 0)</f>
        <v>1</v>
      </c>
      <c r="C83" s="17" t="n">
        <f aca="false">IF(NOT(ISNUMBER(MATCH(creatives!D84,data!C$2:C$6,0))),1,0)</f>
        <v>1</v>
      </c>
      <c r="D83" s="17" t="n">
        <f aca="false">IF(OR(LEFT(creatives!G84,7)="http://",LEFT(creatives!G84,8)="https://"), 0, 1)</f>
        <v>1</v>
      </c>
      <c r="E83" s="17" t="n">
        <f aca="false">IF(OR(LEFT(creatives!H84,7)="http://",LEFT(creatives!H84,8)="https://"), 0, 1)</f>
        <v>1</v>
      </c>
      <c r="F83" s="17" t="n">
        <f aca="false">IF(NOT(ISNUMBER(MATCH(creatives!I84,data!G$2:G$6,0))),1,0)</f>
        <v>1</v>
      </c>
      <c r="G83" s="17" t="n">
        <f aca="false">IF(ISBLANK(creatives!J84), 1, 0)</f>
        <v>1</v>
      </c>
      <c r="H83" s="17" t="str">
        <f aca="false">IF(NOT(ISBLANK(creatives!F84)),VLOOKUP(creatives!F84,data!I$2:J$29,2,0),"")</f>
        <v/>
      </c>
      <c r="I83" s="17" t="n">
        <f aca="false">IF(AND(NOT(ISBLANK(creatives!F84)),NOT(ISNUMBER(MATCH(H83,data!J$2:J$29,0)))),1,0)</f>
        <v>0</v>
      </c>
      <c r="J83" s="17" t="str">
        <f aca="false">IF(NOT(ISBLANK(creatives!E84)),VLOOKUP(creatives!E84,data!M$2:N$38,2,0),"")</f>
        <v/>
      </c>
      <c r="K83" s="17" t="n">
        <f aca="false">IF(NOT(ISNUMBER(MATCH(J83,data!N$2:N$38,0))),1,0)</f>
        <v>1</v>
      </c>
      <c r="L83" s="18" t="str">
        <f aca="false">IF(NOT(ISBLANK(creatives!C84)),VLOOKUP(creatives!C84,data!$A$2:$B$705,2,0),"")</f>
        <v/>
      </c>
      <c r="M83" s="17" t="n">
        <f aca="false">IF(NOT(ISNUMBER(MATCH(L83,data!B$2:B$705,0))),1,0)</f>
        <v>1</v>
      </c>
      <c r="N83" s="19" t="b">
        <f aca="false">IF(NOT(A83),TRUE(),AND(A83,SUM(B83,C83,D83,E83,F83,G83,K83,M83,I83)=0))</f>
        <v>1</v>
      </c>
      <c r="O83" s="20" t="n">
        <v>82</v>
      </c>
      <c r="P83" s="19" t="b">
        <f aca="false">IF(A83,COUNTIF(A$2:A83, CONCATENATE("=", TRUE()))=O83, TRUE())</f>
        <v>1</v>
      </c>
      <c r="Q83" s="1" t="n">
        <f aca="false">IF(A83,O83,0)</f>
        <v>0</v>
      </c>
    </row>
    <row r="84" customFormat="false" ht="15.65" hidden="false" customHeight="false" outlineLevel="0" collapsed="false">
      <c r="A84" s="17" t="b">
        <f aca="false">COUNTIF(creatives!B85:J85, "*")&gt;0</f>
        <v>0</v>
      </c>
      <c r="B84" s="17" t="n">
        <f aca="false">IF(OR(NOT(ISTEXT(creatives!B85)), ISBLANK(creatives!B85), LEN(TRIM(creatives!B85))&gt;200), 1, 0)</f>
        <v>1</v>
      </c>
      <c r="C84" s="17" t="n">
        <f aca="false">IF(NOT(ISNUMBER(MATCH(creatives!D85,data!C$2:C$6,0))),1,0)</f>
        <v>1</v>
      </c>
      <c r="D84" s="17" t="n">
        <f aca="false">IF(OR(LEFT(creatives!G85,7)="http://",LEFT(creatives!G85,8)="https://"), 0, 1)</f>
        <v>1</v>
      </c>
      <c r="E84" s="17" t="n">
        <f aca="false">IF(OR(LEFT(creatives!H85,7)="http://",LEFT(creatives!H85,8)="https://"), 0, 1)</f>
        <v>1</v>
      </c>
      <c r="F84" s="17" t="n">
        <f aca="false">IF(NOT(ISNUMBER(MATCH(creatives!I85,data!G$2:G$6,0))),1,0)</f>
        <v>1</v>
      </c>
      <c r="G84" s="17" t="n">
        <f aca="false">IF(ISBLANK(creatives!J85), 1, 0)</f>
        <v>1</v>
      </c>
      <c r="H84" s="17" t="str">
        <f aca="false">IF(NOT(ISBLANK(creatives!F85)),VLOOKUP(creatives!F85,data!I$2:J$29,2,0),"")</f>
        <v/>
      </c>
      <c r="I84" s="17" t="n">
        <f aca="false">IF(AND(NOT(ISBLANK(creatives!F85)),NOT(ISNUMBER(MATCH(H84,data!J$2:J$29,0)))),1,0)</f>
        <v>0</v>
      </c>
      <c r="J84" s="17" t="str">
        <f aca="false">IF(NOT(ISBLANK(creatives!E85)),VLOOKUP(creatives!E85,data!M$2:N$38,2,0),"")</f>
        <v/>
      </c>
      <c r="K84" s="17" t="n">
        <f aca="false">IF(NOT(ISNUMBER(MATCH(J84,data!N$2:N$38,0))),1,0)</f>
        <v>1</v>
      </c>
      <c r="L84" s="18" t="str">
        <f aca="false">IF(NOT(ISBLANK(creatives!C85)),VLOOKUP(creatives!C85,data!$A$2:$B$705,2,0),"")</f>
        <v/>
      </c>
      <c r="M84" s="17" t="n">
        <f aca="false">IF(NOT(ISNUMBER(MATCH(L84,data!B$2:B$705,0))),1,0)</f>
        <v>1</v>
      </c>
      <c r="N84" s="19" t="b">
        <f aca="false">IF(NOT(A84),TRUE(),AND(A84,SUM(B84,C84,D84,E84,F84,G84,K84,M84,I84)=0))</f>
        <v>1</v>
      </c>
      <c r="O84" s="20" t="n">
        <v>83</v>
      </c>
      <c r="P84" s="19" t="b">
        <f aca="false">IF(A84,COUNTIF(A$2:A84, CONCATENATE("=", TRUE()))=O84, TRUE())</f>
        <v>1</v>
      </c>
      <c r="Q84" s="1" t="n">
        <f aca="false">IF(A84,O84,0)</f>
        <v>0</v>
      </c>
    </row>
    <row r="85" customFormat="false" ht="15.65" hidden="false" customHeight="false" outlineLevel="0" collapsed="false">
      <c r="A85" s="17" t="b">
        <f aca="false">COUNTIF(creatives!B86:J86, "*")&gt;0</f>
        <v>0</v>
      </c>
      <c r="B85" s="17" t="n">
        <f aca="false">IF(OR(NOT(ISTEXT(creatives!B86)), ISBLANK(creatives!B86), LEN(TRIM(creatives!B86))&gt;200), 1, 0)</f>
        <v>1</v>
      </c>
      <c r="C85" s="17" t="n">
        <f aca="false">IF(NOT(ISNUMBER(MATCH(creatives!D86,data!C$2:C$6,0))),1,0)</f>
        <v>1</v>
      </c>
      <c r="D85" s="17" t="n">
        <f aca="false">IF(OR(LEFT(creatives!G86,7)="http://",LEFT(creatives!G86,8)="https://"), 0, 1)</f>
        <v>1</v>
      </c>
      <c r="E85" s="17" t="n">
        <f aca="false">IF(OR(LEFT(creatives!H86,7)="http://",LEFT(creatives!H86,8)="https://"), 0, 1)</f>
        <v>1</v>
      </c>
      <c r="F85" s="17" t="n">
        <f aca="false">IF(NOT(ISNUMBER(MATCH(creatives!I86,data!G$2:G$6,0))),1,0)</f>
        <v>1</v>
      </c>
      <c r="G85" s="17" t="n">
        <f aca="false">IF(ISBLANK(creatives!J86), 1, 0)</f>
        <v>1</v>
      </c>
      <c r="H85" s="17" t="str">
        <f aca="false">IF(NOT(ISBLANK(creatives!F86)),VLOOKUP(creatives!F86,data!I$2:J$29,2,0),"")</f>
        <v/>
      </c>
      <c r="I85" s="17" t="n">
        <f aca="false">IF(AND(NOT(ISBLANK(creatives!F86)),NOT(ISNUMBER(MATCH(H85,data!J$2:J$29,0)))),1,0)</f>
        <v>0</v>
      </c>
      <c r="J85" s="17" t="str">
        <f aca="false">IF(NOT(ISBLANK(creatives!E86)),VLOOKUP(creatives!E86,data!M$2:N$38,2,0),"")</f>
        <v/>
      </c>
      <c r="K85" s="17" t="n">
        <f aca="false">IF(NOT(ISNUMBER(MATCH(J85,data!N$2:N$38,0))),1,0)</f>
        <v>1</v>
      </c>
      <c r="L85" s="18" t="str">
        <f aca="false">IF(NOT(ISBLANK(creatives!C86)),VLOOKUP(creatives!C86,data!$A$2:$B$705,2,0),"")</f>
        <v/>
      </c>
      <c r="M85" s="17" t="n">
        <f aca="false">IF(NOT(ISNUMBER(MATCH(L85,data!B$2:B$705,0))),1,0)</f>
        <v>1</v>
      </c>
      <c r="N85" s="19" t="b">
        <f aca="false">IF(NOT(A85),TRUE(),AND(A85,SUM(B85,C85,D85,E85,F85,G85,K85,M85,I85)=0))</f>
        <v>1</v>
      </c>
      <c r="O85" s="20" t="n">
        <v>84</v>
      </c>
      <c r="P85" s="19" t="b">
        <f aca="false">IF(A85,COUNTIF(A$2:A85, CONCATENATE("=", TRUE()))=O85, TRUE())</f>
        <v>1</v>
      </c>
      <c r="Q85" s="1" t="n">
        <f aca="false">IF(A85,O85,0)</f>
        <v>0</v>
      </c>
    </row>
    <row r="86" customFormat="false" ht="15.65" hidden="false" customHeight="false" outlineLevel="0" collapsed="false">
      <c r="A86" s="17" t="b">
        <f aca="false">COUNTIF(creatives!B87:J87, "*")&gt;0</f>
        <v>0</v>
      </c>
      <c r="B86" s="17" t="n">
        <f aca="false">IF(OR(NOT(ISTEXT(creatives!B87)), ISBLANK(creatives!B87), LEN(TRIM(creatives!B87))&gt;200), 1, 0)</f>
        <v>1</v>
      </c>
      <c r="C86" s="17" t="n">
        <f aca="false">IF(NOT(ISNUMBER(MATCH(creatives!D87,data!C$2:C$6,0))),1,0)</f>
        <v>1</v>
      </c>
      <c r="D86" s="17" t="n">
        <f aca="false">IF(OR(LEFT(creatives!G87,7)="http://",LEFT(creatives!G87,8)="https://"), 0, 1)</f>
        <v>1</v>
      </c>
      <c r="E86" s="17" t="n">
        <f aca="false">IF(OR(LEFT(creatives!H87,7)="http://",LEFT(creatives!H87,8)="https://"), 0, 1)</f>
        <v>1</v>
      </c>
      <c r="F86" s="17" t="n">
        <f aca="false">IF(NOT(ISNUMBER(MATCH(creatives!I87,data!G$2:G$6,0))),1,0)</f>
        <v>1</v>
      </c>
      <c r="G86" s="17" t="n">
        <f aca="false">IF(ISBLANK(creatives!J87), 1, 0)</f>
        <v>1</v>
      </c>
      <c r="H86" s="17" t="str">
        <f aca="false">IF(NOT(ISBLANK(creatives!F87)),VLOOKUP(creatives!F87,data!I$2:J$29,2,0),"")</f>
        <v/>
      </c>
      <c r="I86" s="17" t="n">
        <f aca="false">IF(AND(NOT(ISBLANK(creatives!F87)),NOT(ISNUMBER(MATCH(H86,data!J$2:J$29,0)))),1,0)</f>
        <v>0</v>
      </c>
      <c r="J86" s="17" t="str">
        <f aca="false">IF(NOT(ISBLANK(creatives!E87)),VLOOKUP(creatives!E87,data!M$2:N$38,2,0),"")</f>
        <v/>
      </c>
      <c r="K86" s="17" t="n">
        <f aca="false">IF(NOT(ISNUMBER(MATCH(J86,data!N$2:N$38,0))),1,0)</f>
        <v>1</v>
      </c>
      <c r="L86" s="18" t="str">
        <f aca="false">IF(NOT(ISBLANK(creatives!C87)),VLOOKUP(creatives!C87,data!$A$2:$B$705,2,0),"")</f>
        <v/>
      </c>
      <c r="M86" s="17" t="n">
        <f aca="false">IF(NOT(ISNUMBER(MATCH(L86,data!B$2:B$705,0))),1,0)</f>
        <v>1</v>
      </c>
      <c r="N86" s="19" t="b">
        <f aca="false">IF(NOT(A86),TRUE(),AND(A86,SUM(B86,C86,D86,E86,F86,G86,K86,M86,I86)=0))</f>
        <v>1</v>
      </c>
      <c r="O86" s="20" t="n">
        <v>85</v>
      </c>
      <c r="P86" s="19" t="b">
        <f aca="false">IF(A86,COUNTIF(A$2:A86, CONCATENATE("=", TRUE()))=O86, TRUE())</f>
        <v>1</v>
      </c>
      <c r="Q86" s="1" t="n">
        <f aca="false">IF(A86,O86,0)</f>
        <v>0</v>
      </c>
    </row>
    <row r="87" customFormat="false" ht="15.65" hidden="false" customHeight="false" outlineLevel="0" collapsed="false">
      <c r="A87" s="17" t="b">
        <f aca="false">COUNTIF(creatives!B88:J88, "*")&gt;0</f>
        <v>0</v>
      </c>
      <c r="B87" s="17" t="n">
        <f aca="false">IF(OR(NOT(ISTEXT(creatives!B88)), ISBLANK(creatives!B88), LEN(TRIM(creatives!B88))&gt;200), 1, 0)</f>
        <v>1</v>
      </c>
      <c r="C87" s="17" t="n">
        <f aca="false">IF(NOT(ISNUMBER(MATCH(creatives!D88,data!C$2:C$6,0))),1,0)</f>
        <v>1</v>
      </c>
      <c r="D87" s="17" t="n">
        <f aca="false">IF(OR(LEFT(creatives!G88,7)="http://",LEFT(creatives!G88,8)="https://"), 0, 1)</f>
        <v>1</v>
      </c>
      <c r="E87" s="17" t="n">
        <f aca="false">IF(OR(LEFT(creatives!H88,7)="http://",LEFT(creatives!H88,8)="https://"), 0, 1)</f>
        <v>1</v>
      </c>
      <c r="F87" s="17" t="n">
        <f aca="false">IF(NOT(ISNUMBER(MATCH(creatives!I88,data!G$2:G$6,0))),1,0)</f>
        <v>1</v>
      </c>
      <c r="G87" s="17" t="n">
        <f aca="false">IF(ISBLANK(creatives!J88), 1, 0)</f>
        <v>1</v>
      </c>
      <c r="H87" s="17" t="str">
        <f aca="false">IF(NOT(ISBLANK(creatives!F88)),VLOOKUP(creatives!F88,data!I$2:J$29,2,0),"")</f>
        <v/>
      </c>
      <c r="I87" s="17" t="n">
        <f aca="false">IF(AND(NOT(ISBLANK(creatives!F88)),NOT(ISNUMBER(MATCH(H87,data!J$2:J$29,0)))),1,0)</f>
        <v>0</v>
      </c>
      <c r="J87" s="17" t="str">
        <f aca="false">IF(NOT(ISBLANK(creatives!E88)),VLOOKUP(creatives!E88,data!M$2:N$38,2,0),"")</f>
        <v/>
      </c>
      <c r="K87" s="17" t="n">
        <f aca="false">IF(NOT(ISNUMBER(MATCH(J87,data!N$2:N$38,0))),1,0)</f>
        <v>1</v>
      </c>
      <c r="L87" s="18" t="str">
        <f aca="false">IF(NOT(ISBLANK(creatives!C88)),VLOOKUP(creatives!C88,data!$A$2:$B$705,2,0),"")</f>
        <v/>
      </c>
      <c r="M87" s="17" t="n">
        <f aca="false">IF(NOT(ISNUMBER(MATCH(L87,data!B$2:B$705,0))),1,0)</f>
        <v>1</v>
      </c>
      <c r="N87" s="19" t="b">
        <f aca="false">IF(NOT(A87),TRUE(),AND(A87,SUM(B87,C87,D87,E87,F87,G87,K87,M87,I87)=0))</f>
        <v>1</v>
      </c>
      <c r="O87" s="20" t="n">
        <v>86</v>
      </c>
      <c r="P87" s="19" t="b">
        <f aca="false">IF(A87,COUNTIF(A$2:A87, CONCATENATE("=", TRUE()))=O87, TRUE())</f>
        <v>1</v>
      </c>
      <c r="Q87" s="1" t="n">
        <f aca="false">IF(A87,O87,0)</f>
        <v>0</v>
      </c>
    </row>
    <row r="88" customFormat="false" ht="15.65" hidden="false" customHeight="false" outlineLevel="0" collapsed="false">
      <c r="A88" s="17" t="b">
        <f aca="false">COUNTIF(creatives!B89:J89, "*")&gt;0</f>
        <v>0</v>
      </c>
      <c r="B88" s="17" t="n">
        <f aca="false">IF(OR(NOT(ISTEXT(creatives!B89)), ISBLANK(creatives!B89), LEN(TRIM(creatives!B89))&gt;200), 1, 0)</f>
        <v>1</v>
      </c>
      <c r="C88" s="17" t="n">
        <f aca="false">IF(NOT(ISNUMBER(MATCH(creatives!D89,data!C$2:C$6,0))),1,0)</f>
        <v>1</v>
      </c>
      <c r="D88" s="17" t="n">
        <f aca="false">IF(OR(LEFT(creatives!G89,7)="http://",LEFT(creatives!G89,8)="https://"), 0, 1)</f>
        <v>1</v>
      </c>
      <c r="E88" s="17" t="n">
        <f aca="false">IF(OR(LEFT(creatives!H89,7)="http://",LEFT(creatives!H89,8)="https://"), 0, 1)</f>
        <v>1</v>
      </c>
      <c r="F88" s="17" t="n">
        <f aca="false">IF(NOT(ISNUMBER(MATCH(creatives!I89,data!G$2:G$6,0))),1,0)</f>
        <v>1</v>
      </c>
      <c r="G88" s="17" t="n">
        <f aca="false">IF(ISBLANK(creatives!J89), 1, 0)</f>
        <v>1</v>
      </c>
      <c r="H88" s="17" t="str">
        <f aca="false">IF(NOT(ISBLANK(creatives!F89)),VLOOKUP(creatives!F89,data!I$2:J$29,2,0),"")</f>
        <v/>
      </c>
      <c r="I88" s="17" t="n">
        <f aca="false">IF(AND(NOT(ISBLANK(creatives!F89)),NOT(ISNUMBER(MATCH(H88,data!J$2:J$29,0)))),1,0)</f>
        <v>0</v>
      </c>
      <c r="J88" s="17" t="str">
        <f aca="false">IF(NOT(ISBLANK(creatives!E89)),VLOOKUP(creatives!E89,data!M$2:N$38,2,0),"")</f>
        <v/>
      </c>
      <c r="K88" s="17" t="n">
        <f aca="false">IF(NOT(ISNUMBER(MATCH(J88,data!N$2:N$38,0))),1,0)</f>
        <v>1</v>
      </c>
      <c r="L88" s="18" t="str">
        <f aca="false">IF(NOT(ISBLANK(creatives!C89)),VLOOKUP(creatives!C89,data!$A$2:$B$705,2,0),"")</f>
        <v/>
      </c>
      <c r="M88" s="17" t="n">
        <f aca="false">IF(NOT(ISNUMBER(MATCH(L88,data!B$2:B$705,0))),1,0)</f>
        <v>1</v>
      </c>
      <c r="N88" s="19" t="b">
        <f aca="false">IF(NOT(A88),TRUE(),AND(A88,SUM(B88,C88,D88,E88,F88,G88,K88,M88,I88)=0))</f>
        <v>1</v>
      </c>
      <c r="O88" s="20" t="n">
        <v>87</v>
      </c>
      <c r="P88" s="19" t="b">
        <f aca="false">IF(A88,COUNTIF(A$2:A88, CONCATENATE("=", TRUE()))=O88, TRUE())</f>
        <v>1</v>
      </c>
      <c r="Q88" s="1" t="n">
        <f aca="false">IF(A88,O88,0)</f>
        <v>0</v>
      </c>
    </row>
    <row r="89" customFormat="false" ht="15.65" hidden="false" customHeight="false" outlineLevel="0" collapsed="false">
      <c r="A89" s="17" t="b">
        <f aca="false">COUNTIF(creatives!B90:J90, "*")&gt;0</f>
        <v>0</v>
      </c>
      <c r="B89" s="17" t="n">
        <f aca="false">IF(OR(NOT(ISTEXT(creatives!B90)), ISBLANK(creatives!B90), LEN(TRIM(creatives!B90))&gt;200), 1, 0)</f>
        <v>1</v>
      </c>
      <c r="C89" s="17" t="n">
        <f aca="false">IF(NOT(ISNUMBER(MATCH(creatives!D90,data!C$2:C$6,0))),1,0)</f>
        <v>1</v>
      </c>
      <c r="D89" s="17" t="n">
        <f aca="false">IF(OR(LEFT(creatives!G90,7)="http://",LEFT(creatives!G90,8)="https://"), 0, 1)</f>
        <v>1</v>
      </c>
      <c r="E89" s="17" t="n">
        <f aca="false">IF(OR(LEFT(creatives!H90,7)="http://",LEFT(creatives!H90,8)="https://"), 0, 1)</f>
        <v>1</v>
      </c>
      <c r="F89" s="17" t="n">
        <f aca="false">IF(NOT(ISNUMBER(MATCH(creatives!I90,data!G$2:G$6,0))),1,0)</f>
        <v>1</v>
      </c>
      <c r="G89" s="17" t="n">
        <f aca="false">IF(ISBLANK(creatives!J90), 1, 0)</f>
        <v>1</v>
      </c>
      <c r="H89" s="17" t="str">
        <f aca="false">IF(NOT(ISBLANK(creatives!F90)),VLOOKUP(creatives!F90,data!I$2:J$29,2,0),"")</f>
        <v/>
      </c>
      <c r="I89" s="17" t="n">
        <f aca="false">IF(AND(NOT(ISBLANK(creatives!F90)),NOT(ISNUMBER(MATCH(H89,data!J$2:J$29,0)))),1,0)</f>
        <v>0</v>
      </c>
      <c r="J89" s="17" t="str">
        <f aca="false">IF(NOT(ISBLANK(creatives!E90)),VLOOKUP(creatives!E90,data!M$2:N$38,2,0),"")</f>
        <v/>
      </c>
      <c r="K89" s="17" t="n">
        <f aca="false">IF(NOT(ISNUMBER(MATCH(J89,data!N$2:N$38,0))),1,0)</f>
        <v>1</v>
      </c>
      <c r="L89" s="18" t="str">
        <f aca="false">IF(NOT(ISBLANK(creatives!C90)),VLOOKUP(creatives!C90,data!$A$2:$B$705,2,0),"")</f>
        <v/>
      </c>
      <c r="M89" s="17" t="n">
        <f aca="false">IF(NOT(ISNUMBER(MATCH(L89,data!B$2:B$705,0))),1,0)</f>
        <v>1</v>
      </c>
      <c r="N89" s="19" t="b">
        <f aca="false">IF(NOT(A89),TRUE(),AND(A89,SUM(B89,C89,D89,E89,F89,G89,K89,M89,I89)=0))</f>
        <v>1</v>
      </c>
      <c r="O89" s="20" t="n">
        <v>88</v>
      </c>
      <c r="P89" s="19" t="b">
        <f aca="false">IF(A89,COUNTIF(A$2:A89, CONCATENATE("=", TRUE()))=O89, TRUE())</f>
        <v>1</v>
      </c>
      <c r="Q89" s="1" t="n">
        <f aca="false">IF(A89,O89,0)</f>
        <v>0</v>
      </c>
    </row>
    <row r="90" customFormat="false" ht="15.65" hidden="false" customHeight="false" outlineLevel="0" collapsed="false">
      <c r="A90" s="17" t="b">
        <f aca="false">COUNTIF(creatives!B91:J91, "*")&gt;0</f>
        <v>0</v>
      </c>
      <c r="B90" s="17" t="n">
        <f aca="false">IF(OR(NOT(ISTEXT(creatives!B91)), ISBLANK(creatives!B91), LEN(TRIM(creatives!B91))&gt;200), 1, 0)</f>
        <v>1</v>
      </c>
      <c r="C90" s="17" t="n">
        <f aca="false">IF(NOT(ISNUMBER(MATCH(creatives!D91,data!C$2:C$6,0))),1,0)</f>
        <v>1</v>
      </c>
      <c r="D90" s="17" t="n">
        <f aca="false">IF(OR(LEFT(creatives!G91,7)="http://",LEFT(creatives!G91,8)="https://"), 0, 1)</f>
        <v>1</v>
      </c>
      <c r="E90" s="17" t="n">
        <f aca="false">IF(OR(LEFT(creatives!H91,7)="http://",LEFT(creatives!H91,8)="https://"), 0, 1)</f>
        <v>1</v>
      </c>
      <c r="F90" s="17" t="n">
        <f aca="false">IF(NOT(ISNUMBER(MATCH(creatives!I91,data!G$2:G$6,0))),1,0)</f>
        <v>1</v>
      </c>
      <c r="G90" s="17" t="n">
        <f aca="false">IF(ISBLANK(creatives!J91), 1, 0)</f>
        <v>1</v>
      </c>
      <c r="H90" s="17" t="str">
        <f aca="false">IF(NOT(ISBLANK(creatives!F91)),VLOOKUP(creatives!F91,data!I$2:J$29,2,0),"")</f>
        <v/>
      </c>
      <c r="I90" s="17" t="n">
        <f aca="false">IF(AND(NOT(ISBLANK(creatives!F91)),NOT(ISNUMBER(MATCH(H90,data!J$2:J$29,0)))),1,0)</f>
        <v>0</v>
      </c>
      <c r="J90" s="17" t="str">
        <f aca="false">IF(NOT(ISBLANK(creatives!E91)),VLOOKUP(creatives!E91,data!M$2:N$38,2,0),"")</f>
        <v/>
      </c>
      <c r="K90" s="17" t="n">
        <f aca="false">IF(NOT(ISNUMBER(MATCH(J90,data!N$2:N$38,0))),1,0)</f>
        <v>1</v>
      </c>
      <c r="L90" s="18" t="str">
        <f aca="false">IF(NOT(ISBLANK(creatives!C91)),VLOOKUP(creatives!C91,data!$A$2:$B$705,2,0),"")</f>
        <v/>
      </c>
      <c r="M90" s="17" t="n">
        <f aca="false">IF(NOT(ISNUMBER(MATCH(L90,data!B$2:B$705,0))),1,0)</f>
        <v>1</v>
      </c>
      <c r="N90" s="19" t="b">
        <f aca="false">IF(NOT(A90),TRUE(),AND(A90,SUM(B90,C90,D90,E90,F90,G90,K90,M90,I90)=0))</f>
        <v>1</v>
      </c>
      <c r="O90" s="20" t="n">
        <v>89</v>
      </c>
      <c r="P90" s="19" t="b">
        <f aca="false">IF(A90,COUNTIF(A$2:A90, CONCATENATE("=", TRUE()))=O90, TRUE())</f>
        <v>1</v>
      </c>
      <c r="Q90" s="1" t="n">
        <f aca="false">IF(A90,O90,0)</f>
        <v>0</v>
      </c>
    </row>
    <row r="91" customFormat="false" ht="15.65" hidden="false" customHeight="false" outlineLevel="0" collapsed="false">
      <c r="A91" s="17" t="b">
        <f aca="false">COUNTIF(creatives!B92:J92, "*")&gt;0</f>
        <v>0</v>
      </c>
      <c r="B91" s="17" t="n">
        <f aca="false">IF(OR(NOT(ISTEXT(creatives!B92)), ISBLANK(creatives!B92), LEN(TRIM(creatives!B92))&gt;200), 1, 0)</f>
        <v>1</v>
      </c>
      <c r="C91" s="17" t="n">
        <f aca="false">IF(NOT(ISNUMBER(MATCH(creatives!D92,data!C$2:C$6,0))),1,0)</f>
        <v>1</v>
      </c>
      <c r="D91" s="17" t="n">
        <f aca="false">IF(OR(LEFT(creatives!G92,7)="http://",LEFT(creatives!G92,8)="https://"), 0, 1)</f>
        <v>1</v>
      </c>
      <c r="E91" s="17" t="n">
        <f aca="false">IF(OR(LEFT(creatives!H92,7)="http://",LEFT(creatives!H92,8)="https://"), 0, 1)</f>
        <v>1</v>
      </c>
      <c r="F91" s="17" t="n">
        <f aca="false">IF(NOT(ISNUMBER(MATCH(creatives!I92,data!G$2:G$6,0))),1,0)</f>
        <v>1</v>
      </c>
      <c r="G91" s="17" t="n">
        <f aca="false">IF(ISBLANK(creatives!J92), 1, 0)</f>
        <v>1</v>
      </c>
      <c r="H91" s="17" t="str">
        <f aca="false">IF(NOT(ISBLANK(creatives!F92)),VLOOKUP(creatives!F92,data!I$2:J$29,2,0),"")</f>
        <v/>
      </c>
      <c r="I91" s="17" t="n">
        <f aca="false">IF(AND(NOT(ISBLANK(creatives!F92)),NOT(ISNUMBER(MATCH(H91,data!J$2:J$29,0)))),1,0)</f>
        <v>0</v>
      </c>
      <c r="J91" s="17" t="str">
        <f aca="false">IF(NOT(ISBLANK(creatives!E92)),VLOOKUP(creatives!E92,data!M$2:N$38,2,0),"")</f>
        <v/>
      </c>
      <c r="K91" s="17" t="n">
        <f aca="false">IF(NOT(ISNUMBER(MATCH(J91,data!N$2:N$38,0))),1,0)</f>
        <v>1</v>
      </c>
      <c r="L91" s="18" t="str">
        <f aca="false">IF(NOT(ISBLANK(creatives!C92)),VLOOKUP(creatives!C92,data!$A$2:$B$705,2,0),"")</f>
        <v/>
      </c>
      <c r="M91" s="17" t="n">
        <f aca="false">IF(NOT(ISNUMBER(MATCH(L91,data!B$2:B$705,0))),1,0)</f>
        <v>1</v>
      </c>
      <c r="N91" s="19" t="b">
        <f aca="false">IF(NOT(A91),TRUE(),AND(A91,SUM(B91,C91,D91,E91,F91,G91,K91,M91,I91)=0))</f>
        <v>1</v>
      </c>
      <c r="O91" s="20" t="n">
        <v>90</v>
      </c>
      <c r="P91" s="19" t="b">
        <f aca="false">IF(A91,COUNTIF(A$2:A91, CONCATENATE("=", TRUE()))=O91, TRUE())</f>
        <v>1</v>
      </c>
      <c r="Q91" s="1" t="n">
        <f aca="false">IF(A91,O91,0)</f>
        <v>0</v>
      </c>
    </row>
    <row r="92" customFormat="false" ht="15.65" hidden="false" customHeight="false" outlineLevel="0" collapsed="false">
      <c r="A92" s="17" t="b">
        <f aca="false">COUNTIF(creatives!B93:J93, "*")&gt;0</f>
        <v>0</v>
      </c>
      <c r="B92" s="17" t="n">
        <f aca="false">IF(OR(NOT(ISTEXT(creatives!B93)), ISBLANK(creatives!B93), LEN(TRIM(creatives!B93))&gt;200), 1, 0)</f>
        <v>1</v>
      </c>
      <c r="C92" s="17" t="n">
        <f aca="false">IF(NOT(ISNUMBER(MATCH(creatives!D93,data!C$2:C$6,0))),1,0)</f>
        <v>1</v>
      </c>
      <c r="D92" s="17" t="n">
        <f aca="false">IF(OR(LEFT(creatives!G93,7)="http://",LEFT(creatives!G93,8)="https://"), 0, 1)</f>
        <v>1</v>
      </c>
      <c r="E92" s="17" t="n">
        <f aca="false">IF(OR(LEFT(creatives!H93,7)="http://",LEFT(creatives!H93,8)="https://"), 0, 1)</f>
        <v>1</v>
      </c>
      <c r="F92" s="17" t="n">
        <f aca="false">IF(NOT(ISNUMBER(MATCH(creatives!I93,data!G$2:G$6,0))),1,0)</f>
        <v>1</v>
      </c>
      <c r="G92" s="17" t="n">
        <f aca="false">IF(ISBLANK(creatives!J93), 1, 0)</f>
        <v>1</v>
      </c>
      <c r="H92" s="17" t="str">
        <f aca="false">IF(NOT(ISBLANK(creatives!F93)),VLOOKUP(creatives!F93,data!I$2:J$29,2,0),"")</f>
        <v/>
      </c>
      <c r="I92" s="17" t="n">
        <f aca="false">IF(AND(NOT(ISBLANK(creatives!F93)),NOT(ISNUMBER(MATCH(H92,data!J$2:J$29,0)))),1,0)</f>
        <v>0</v>
      </c>
      <c r="J92" s="17" t="str">
        <f aca="false">IF(NOT(ISBLANK(creatives!E93)),VLOOKUP(creatives!E93,data!M$2:N$38,2,0),"")</f>
        <v/>
      </c>
      <c r="K92" s="17" t="n">
        <f aca="false">IF(NOT(ISNUMBER(MATCH(J92,data!N$2:N$38,0))),1,0)</f>
        <v>1</v>
      </c>
      <c r="L92" s="18" t="str">
        <f aca="false">IF(NOT(ISBLANK(creatives!C93)),VLOOKUP(creatives!C93,data!$A$2:$B$705,2,0),"")</f>
        <v/>
      </c>
      <c r="M92" s="17" t="n">
        <f aca="false">IF(NOT(ISNUMBER(MATCH(L92,data!B$2:B$705,0))),1,0)</f>
        <v>1</v>
      </c>
      <c r="N92" s="19" t="b">
        <f aca="false">IF(NOT(A92),TRUE(),AND(A92,SUM(B92,C92,D92,E92,F92,G92,K92,M92,I92)=0))</f>
        <v>1</v>
      </c>
      <c r="O92" s="20" t="n">
        <v>91</v>
      </c>
      <c r="P92" s="19" t="b">
        <f aca="false">IF(A92,COUNTIF(A$2:A92, CONCATENATE("=", TRUE()))=O92, TRUE())</f>
        <v>1</v>
      </c>
      <c r="Q92" s="1" t="n">
        <f aca="false">IF(A92,O92,0)</f>
        <v>0</v>
      </c>
    </row>
    <row r="93" customFormat="false" ht="15.65" hidden="false" customHeight="false" outlineLevel="0" collapsed="false">
      <c r="A93" s="17" t="b">
        <f aca="false">COUNTIF(creatives!B94:J94, "*")&gt;0</f>
        <v>0</v>
      </c>
      <c r="B93" s="17" t="n">
        <f aca="false">IF(OR(NOT(ISTEXT(creatives!B94)), ISBLANK(creatives!B94), LEN(TRIM(creatives!B94))&gt;200), 1, 0)</f>
        <v>1</v>
      </c>
      <c r="C93" s="17" t="n">
        <f aca="false">IF(NOT(ISNUMBER(MATCH(creatives!D94,data!C$2:C$6,0))),1,0)</f>
        <v>1</v>
      </c>
      <c r="D93" s="17" t="n">
        <f aca="false">IF(OR(LEFT(creatives!G94,7)="http://",LEFT(creatives!G94,8)="https://"), 0, 1)</f>
        <v>1</v>
      </c>
      <c r="E93" s="17" t="n">
        <f aca="false">IF(OR(LEFT(creatives!H94,7)="http://",LEFT(creatives!H94,8)="https://"), 0, 1)</f>
        <v>1</v>
      </c>
      <c r="F93" s="17" t="n">
        <f aca="false">IF(NOT(ISNUMBER(MATCH(creatives!I94,data!G$2:G$6,0))),1,0)</f>
        <v>1</v>
      </c>
      <c r="G93" s="17" t="n">
        <f aca="false">IF(ISBLANK(creatives!J94), 1, 0)</f>
        <v>1</v>
      </c>
      <c r="H93" s="17" t="str">
        <f aca="false">IF(NOT(ISBLANK(creatives!F94)),VLOOKUP(creatives!F94,data!I$2:J$29,2,0),"")</f>
        <v/>
      </c>
      <c r="I93" s="17" t="n">
        <f aca="false">IF(AND(NOT(ISBLANK(creatives!F94)),NOT(ISNUMBER(MATCH(H93,data!J$2:J$29,0)))),1,0)</f>
        <v>0</v>
      </c>
      <c r="J93" s="17" t="str">
        <f aca="false">IF(NOT(ISBLANK(creatives!E94)),VLOOKUP(creatives!E94,data!M$2:N$38,2,0),"")</f>
        <v/>
      </c>
      <c r="K93" s="17" t="n">
        <f aca="false">IF(NOT(ISNUMBER(MATCH(J93,data!N$2:N$38,0))),1,0)</f>
        <v>1</v>
      </c>
      <c r="L93" s="18" t="str">
        <f aca="false">IF(NOT(ISBLANK(creatives!C94)),VLOOKUP(creatives!C94,data!$A$2:$B$705,2,0),"")</f>
        <v/>
      </c>
      <c r="M93" s="17" t="n">
        <f aca="false">IF(NOT(ISNUMBER(MATCH(L93,data!B$2:B$705,0))),1,0)</f>
        <v>1</v>
      </c>
      <c r="N93" s="19" t="b">
        <f aca="false">IF(NOT(A93),TRUE(),AND(A93,SUM(B93,C93,D93,E93,F93,G93,K93,M93,I93)=0))</f>
        <v>1</v>
      </c>
      <c r="O93" s="20" t="n">
        <v>92</v>
      </c>
      <c r="P93" s="19" t="b">
        <f aca="false">IF(A93,COUNTIF(A$2:A93, CONCATENATE("=", TRUE()))=O93, TRUE())</f>
        <v>1</v>
      </c>
      <c r="Q93" s="1" t="n">
        <f aca="false">IF(A93,O93,0)</f>
        <v>0</v>
      </c>
    </row>
    <row r="94" customFormat="false" ht="15.65" hidden="false" customHeight="false" outlineLevel="0" collapsed="false">
      <c r="A94" s="17" t="b">
        <f aca="false">COUNTIF(creatives!B95:J95, "*")&gt;0</f>
        <v>0</v>
      </c>
      <c r="B94" s="17" t="n">
        <f aca="false">IF(OR(NOT(ISTEXT(creatives!B95)), ISBLANK(creatives!B95), LEN(TRIM(creatives!B95))&gt;200), 1, 0)</f>
        <v>1</v>
      </c>
      <c r="C94" s="17" t="n">
        <f aca="false">IF(NOT(ISNUMBER(MATCH(creatives!D95,data!C$2:C$6,0))),1,0)</f>
        <v>1</v>
      </c>
      <c r="D94" s="17" t="n">
        <f aca="false">IF(OR(LEFT(creatives!G95,7)="http://",LEFT(creatives!G95,8)="https://"), 0, 1)</f>
        <v>1</v>
      </c>
      <c r="E94" s="17" t="n">
        <f aca="false">IF(OR(LEFT(creatives!H95,7)="http://",LEFT(creatives!H95,8)="https://"), 0, 1)</f>
        <v>1</v>
      </c>
      <c r="F94" s="17" t="n">
        <f aca="false">IF(NOT(ISNUMBER(MATCH(creatives!I95,data!G$2:G$6,0))),1,0)</f>
        <v>1</v>
      </c>
      <c r="G94" s="17" t="n">
        <f aca="false">IF(ISBLANK(creatives!J95), 1, 0)</f>
        <v>1</v>
      </c>
      <c r="H94" s="17" t="str">
        <f aca="false">IF(NOT(ISBLANK(creatives!F95)),VLOOKUP(creatives!F95,data!I$2:J$29,2,0),"")</f>
        <v/>
      </c>
      <c r="I94" s="17" t="n">
        <f aca="false">IF(AND(NOT(ISBLANK(creatives!F95)),NOT(ISNUMBER(MATCH(H94,data!J$2:J$29,0)))),1,0)</f>
        <v>0</v>
      </c>
      <c r="J94" s="17" t="str">
        <f aca="false">IF(NOT(ISBLANK(creatives!E95)),VLOOKUP(creatives!E95,data!M$2:N$38,2,0),"")</f>
        <v/>
      </c>
      <c r="K94" s="17" t="n">
        <f aca="false">IF(NOT(ISNUMBER(MATCH(J94,data!N$2:N$38,0))),1,0)</f>
        <v>1</v>
      </c>
      <c r="L94" s="18" t="str">
        <f aca="false">IF(NOT(ISBLANK(creatives!C95)),VLOOKUP(creatives!C95,data!$A$2:$B$705,2,0),"")</f>
        <v/>
      </c>
      <c r="M94" s="17" t="n">
        <f aca="false">IF(NOT(ISNUMBER(MATCH(L94,data!B$2:B$705,0))),1,0)</f>
        <v>1</v>
      </c>
      <c r="N94" s="19" t="b">
        <f aca="false">IF(NOT(A94),TRUE(),AND(A94,SUM(B94,C94,D94,E94,F94,G94,K94,M94,I94)=0))</f>
        <v>1</v>
      </c>
      <c r="O94" s="20" t="n">
        <v>93</v>
      </c>
      <c r="P94" s="19" t="b">
        <f aca="false">IF(A94,COUNTIF(A$2:A94, CONCATENATE("=", TRUE()))=O94, TRUE())</f>
        <v>1</v>
      </c>
      <c r="Q94" s="1" t="n">
        <f aca="false">IF(A94,O94,0)</f>
        <v>0</v>
      </c>
    </row>
    <row r="95" customFormat="false" ht="15.65" hidden="false" customHeight="false" outlineLevel="0" collapsed="false">
      <c r="A95" s="17" t="b">
        <f aca="false">COUNTIF(creatives!B96:J96, "*")&gt;0</f>
        <v>0</v>
      </c>
      <c r="B95" s="17" t="n">
        <f aca="false">IF(OR(NOT(ISTEXT(creatives!B96)), ISBLANK(creatives!B96), LEN(TRIM(creatives!B96))&gt;200), 1, 0)</f>
        <v>1</v>
      </c>
      <c r="C95" s="17" t="n">
        <f aca="false">IF(NOT(ISNUMBER(MATCH(creatives!D96,data!C$2:C$6,0))),1,0)</f>
        <v>1</v>
      </c>
      <c r="D95" s="17" t="n">
        <f aca="false">IF(OR(LEFT(creatives!G96,7)="http://",LEFT(creatives!G96,8)="https://"), 0, 1)</f>
        <v>1</v>
      </c>
      <c r="E95" s="17" t="n">
        <f aca="false">IF(OR(LEFT(creatives!H96,7)="http://",LEFT(creatives!H96,8)="https://"), 0, 1)</f>
        <v>1</v>
      </c>
      <c r="F95" s="17" t="n">
        <f aca="false">IF(NOT(ISNUMBER(MATCH(creatives!I96,data!G$2:G$6,0))),1,0)</f>
        <v>1</v>
      </c>
      <c r="G95" s="17" t="n">
        <f aca="false">IF(ISBLANK(creatives!J96), 1, 0)</f>
        <v>1</v>
      </c>
      <c r="H95" s="17" t="str">
        <f aca="false">IF(NOT(ISBLANK(creatives!F96)),VLOOKUP(creatives!F96,data!I$2:J$29,2,0),"")</f>
        <v/>
      </c>
      <c r="I95" s="17" t="n">
        <f aca="false">IF(AND(NOT(ISBLANK(creatives!F96)),NOT(ISNUMBER(MATCH(H95,data!J$2:J$29,0)))),1,0)</f>
        <v>0</v>
      </c>
      <c r="J95" s="17" t="str">
        <f aca="false">IF(NOT(ISBLANK(creatives!E96)),VLOOKUP(creatives!E96,data!M$2:N$38,2,0),"")</f>
        <v/>
      </c>
      <c r="K95" s="17" t="n">
        <f aca="false">IF(NOT(ISNUMBER(MATCH(J95,data!N$2:N$38,0))),1,0)</f>
        <v>1</v>
      </c>
      <c r="L95" s="18" t="str">
        <f aca="false">IF(NOT(ISBLANK(creatives!C96)),VLOOKUP(creatives!C96,data!$A$2:$B$705,2,0),"")</f>
        <v/>
      </c>
      <c r="M95" s="17" t="n">
        <f aca="false">IF(NOT(ISNUMBER(MATCH(L95,data!B$2:B$705,0))),1,0)</f>
        <v>1</v>
      </c>
      <c r="N95" s="19" t="b">
        <f aca="false">IF(NOT(A95),TRUE(),AND(A95,SUM(B95,C95,D95,E95,F95,G95,K95,M95,I95)=0))</f>
        <v>1</v>
      </c>
      <c r="O95" s="20" t="n">
        <v>94</v>
      </c>
      <c r="P95" s="19" t="b">
        <f aca="false">IF(A95,COUNTIF(A$2:A95, CONCATENATE("=", TRUE()))=O95, TRUE())</f>
        <v>1</v>
      </c>
      <c r="Q95" s="1" t="n">
        <f aca="false">IF(A95,O95,0)</f>
        <v>0</v>
      </c>
    </row>
    <row r="96" customFormat="false" ht="15.65" hidden="false" customHeight="false" outlineLevel="0" collapsed="false">
      <c r="A96" s="17" t="b">
        <f aca="false">COUNTIF(creatives!B97:J97, "*")&gt;0</f>
        <v>0</v>
      </c>
      <c r="B96" s="17" t="n">
        <f aca="false">IF(OR(NOT(ISTEXT(creatives!B97)), ISBLANK(creatives!B97), LEN(TRIM(creatives!B97))&gt;200), 1, 0)</f>
        <v>1</v>
      </c>
      <c r="C96" s="17" t="n">
        <f aca="false">IF(NOT(ISNUMBER(MATCH(creatives!D97,data!C$2:C$6,0))),1,0)</f>
        <v>1</v>
      </c>
      <c r="D96" s="17" t="n">
        <f aca="false">IF(OR(LEFT(creatives!G97,7)="http://",LEFT(creatives!G97,8)="https://"), 0, 1)</f>
        <v>1</v>
      </c>
      <c r="E96" s="17" t="n">
        <f aca="false">IF(OR(LEFT(creatives!H97,7)="http://",LEFT(creatives!H97,8)="https://"), 0, 1)</f>
        <v>1</v>
      </c>
      <c r="F96" s="17" t="n">
        <f aca="false">IF(NOT(ISNUMBER(MATCH(creatives!I97,data!G$2:G$6,0))),1,0)</f>
        <v>1</v>
      </c>
      <c r="G96" s="17" t="n">
        <f aca="false">IF(ISBLANK(creatives!J97), 1, 0)</f>
        <v>1</v>
      </c>
      <c r="H96" s="17" t="str">
        <f aca="false">IF(NOT(ISBLANK(creatives!F97)),VLOOKUP(creatives!F97,data!I$2:J$29,2,0),"")</f>
        <v/>
      </c>
      <c r="I96" s="17" t="n">
        <f aca="false">IF(AND(NOT(ISBLANK(creatives!F97)),NOT(ISNUMBER(MATCH(H96,data!J$2:J$29,0)))),1,0)</f>
        <v>0</v>
      </c>
      <c r="J96" s="17" t="str">
        <f aca="false">IF(NOT(ISBLANK(creatives!E97)),VLOOKUP(creatives!E97,data!M$2:N$38,2,0),"")</f>
        <v/>
      </c>
      <c r="K96" s="17" t="n">
        <f aca="false">IF(NOT(ISNUMBER(MATCH(J96,data!N$2:N$38,0))),1,0)</f>
        <v>1</v>
      </c>
      <c r="L96" s="18" t="str">
        <f aca="false">IF(NOT(ISBLANK(creatives!C97)),VLOOKUP(creatives!C97,data!$A$2:$B$705,2,0),"")</f>
        <v/>
      </c>
      <c r="M96" s="17" t="n">
        <f aca="false">IF(NOT(ISNUMBER(MATCH(L96,data!B$2:B$705,0))),1,0)</f>
        <v>1</v>
      </c>
      <c r="N96" s="19" t="b">
        <f aca="false">IF(NOT(A96),TRUE(),AND(A96,SUM(B96,C96,D96,E96,F96,G96,K96,M96,I96)=0))</f>
        <v>1</v>
      </c>
      <c r="O96" s="20" t="n">
        <v>95</v>
      </c>
      <c r="P96" s="19" t="b">
        <f aca="false">IF(A96,COUNTIF(A$2:A96, CONCATENATE("=", TRUE()))=O96, TRUE())</f>
        <v>1</v>
      </c>
      <c r="Q96" s="1" t="n">
        <f aca="false">IF(A96,O96,0)</f>
        <v>0</v>
      </c>
    </row>
    <row r="97" customFormat="false" ht="15.65" hidden="false" customHeight="false" outlineLevel="0" collapsed="false">
      <c r="A97" s="17" t="b">
        <f aca="false">COUNTIF(creatives!B98:J98, "*")&gt;0</f>
        <v>0</v>
      </c>
      <c r="B97" s="17" t="n">
        <f aca="false">IF(OR(NOT(ISTEXT(creatives!B98)), ISBLANK(creatives!B98), LEN(TRIM(creatives!B98))&gt;200), 1, 0)</f>
        <v>1</v>
      </c>
      <c r="C97" s="17" t="n">
        <f aca="false">IF(NOT(ISNUMBER(MATCH(creatives!D98,data!C$2:C$6,0))),1,0)</f>
        <v>1</v>
      </c>
      <c r="D97" s="17" t="n">
        <f aca="false">IF(OR(LEFT(creatives!G98,7)="http://",LEFT(creatives!G98,8)="https://"), 0, 1)</f>
        <v>1</v>
      </c>
      <c r="E97" s="17" t="n">
        <f aca="false">IF(OR(LEFT(creatives!H98,7)="http://",LEFT(creatives!H98,8)="https://"), 0, 1)</f>
        <v>1</v>
      </c>
      <c r="F97" s="17" t="n">
        <f aca="false">IF(NOT(ISNUMBER(MATCH(creatives!I98,data!G$2:G$6,0))),1,0)</f>
        <v>1</v>
      </c>
      <c r="G97" s="17" t="n">
        <f aca="false">IF(ISBLANK(creatives!J98), 1, 0)</f>
        <v>1</v>
      </c>
      <c r="H97" s="17" t="str">
        <f aca="false">IF(NOT(ISBLANK(creatives!F98)),VLOOKUP(creatives!F98,data!I$2:J$29,2,0),"")</f>
        <v/>
      </c>
      <c r="I97" s="17" t="n">
        <f aca="false">IF(AND(NOT(ISBLANK(creatives!F98)),NOT(ISNUMBER(MATCH(H97,data!J$2:J$29,0)))),1,0)</f>
        <v>0</v>
      </c>
      <c r="J97" s="17" t="str">
        <f aca="false">IF(NOT(ISBLANK(creatives!E98)),VLOOKUP(creatives!E98,data!M$2:N$38,2,0),"")</f>
        <v/>
      </c>
      <c r="K97" s="17" t="n">
        <f aca="false">IF(NOT(ISNUMBER(MATCH(J97,data!N$2:N$38,0))),1,0)</f>
        <v>1</v>
      </c>
      <c r="L97" s="18" t="str">
        <f aca="false">IF(NOT(ISBLANK(creatives!C98)),VLOOKUP(creatives!C98,data!$A$2:$B$705,2,0),"")</f>
        <v/>
      </c>
      <c r="M97" s="17" t="n">
        <f aca="false">IF(NOT(ISNUMBER(MATCH(L97,data!B$2:B$705,0))),1,0)</f>
        <v>1</v>
      </c>
      <c r="N97" s="19" t="b">
        <f aca="false">IF(NOT(A97),TRUE(),AND(A97,SUM(B97,C97,D97,E97,F97,G97,K97,M97,I97)=0))</f>
        <v>1</v>
      </c>
      <c r="O97" s="20" t="n">
        <v>96</v>
      </c>
      <c r="P97" s="19" t="b">
        <f aca="false">IF(A97,COUNTIF(A$2:A97, CONCATENATE("=", TRUE()))=O97, TRUE())</f>
        <v>1</v>
      </c>
      <c r="Q97" s="1" t="n">
        <f aca="false">IF(A97,O97,0)</f>
        <v>0</v>
      </c>
    </row>
    <row r="98" customFormat="false" ht="15.65" hidden="false" customHeight="false" outlineLevel="0" collapsed="false">
      <c r="A98" s="17" t="b">
        <f aca="false">COUNTIF(creatives!B99:J99, "*")&gt;0</f>
        <v>0</v>
      </c>
      <c r="B98" s="17" t="n">
        <f aca="false">IF(OR(NOT(ISTEXT(creatives!B99)), ISBLANK(creatives!B99), LEN(TRIM(creatives!B99))&gt;200), 1, 0)</f>
        <v>1</v>
      </c>
      <c r="C98" s="17" t="n">
        <f aca="false">IF(NOT(ISNUMBER(MATCH(creatives!D99,data!C$2:C$6,0))),1,0)</f>
        <v>1</v>
      </c>
      <c r="D98" s="17" t="n">
        <f aca="false">IF(OR(LEFT(creatives!G99,7)="http://",LEFT(creatives!G99,8)="https://"), 0, 1)</f>
        <v>1</v>
      </c>
      <c r="E98" s="17" t="n">
        <f aca="false">IF(OR(LEFT(creatives!H99,7)="http://",LEFT(creatives!H99,8)="https://"), 0, 1)</f>
        <v>1</v>
      </c>
      <c r="F98" s="17" t="n">
        <f aca="false">IF(NOT(ISNUMBER(MATCH(creatives!I99,data!G$2:G$6,0))),1,0)</f>
        <v>1</v>
      </c>
      <c r="G98" s="17" t="n">
        <f aca="false">IF(ISBLANK(creatives!J99), 1, 0)</f>
        <v>1</v>
      </c>
      <c r="H98" s="17" t="str">
        <f aca="false">IF(NOT(ISBLANK(creatives!F99)),VLOOKUP(creatives!F99,data!I$2:J$29,2,0),"")</f>
        <v/>
      </c>
      <c r="I98" s="17" t="n">
        <f aca="false">IF(AND(NOT(ISBLANK(creatives!F99)),NOT(ISNUMBER(MATCH(H98,data!J$2:J$29,0)))),1,0)</f>
        <v>0</v>
      </c>
      <c r="J98" s="17" t="str">
        <f aca="false">IF(NOT(ISBLANK(creatives!E99)),VLOOKUP(creatives!E99,data!M$2:N$38,2,0),"")</f>
        <v/>
      </c>
      <c r="K98" s="17" t="n">
        <f aca="false">IF(NOT(ISNUMBER(MATCH(J98,data!N$2:N$38,0))),1,0)</f>
        <v>1</v>
      </c>
      <c r="L98" s="18" t="str">
        <f aca="false">IF(NOT(ISBLANK(creatives!C99)),VLOOKUP(creatives!C99,data!$A$2:$B$705,2,0),"")</f>
        <v/>
      </c>
      <c r="M98" s="17" t="n">
        <f aca="false">IF(NOT(ISNUMBER(MATCH(L98,data!B$2:B$705,0))),1,0)</f>
        <v>1</v>
      </c>
      <c r="N98" s="19" t="b">
        <f aca="false">IF(NOT(A98),TRUE(),AND(A98,SUM(B98,C98,D98,E98,F98,G98,K98,M98,I98)=0))</f>
        <v>1</v>
      </c>
      <c r="O98" s="20" t="n">
        <v>97</v>
      </c>
      <c r="P98" s="19" t="b">
        <f aca="false">IF(A98,COUNTIF(A$2:A98, CONCATENATE("=", TRUE()))=O98, TRUE())</f>
        <v>1</v>
      </c>
      <c r="Q98" s="1" t="n">
        <f aca="false">IF(A98,O98,0)</f>
        <v>0</v>
      </c>
    </row>
    <row r="99" customFormat="false" ht="15.65" hidden="false" customHeight="false" outlineLevel="0" collapsed="false">
      <c r="A99" s="17" t="b">
        <f aca="false">COUNTIF(creatives!B100:J100, "*")&gt;0</f>
        <v>0</v>
      </c>
      <c r="B99" s="17" t="n">
        <f aca="false">IF(OR(NOT(ISTEXT(creatives!B100)), ISBLANK(creatives!B100), LEN(TRIM(creatives!B100))&gt;200), 1, 0)</f>
        <v>1</v>
      </c>
      <c r="C99" s="17" t="n">
        <f aca="false">IF(NOT(ISNUMBER(MATCH(creatives!D100,data!C$2:C$6,0))),1,0)</f>
        <v>1</v>
      </c>
      <c r="D99" s="17" t="n">
        <f aca="false">IF(OR(LEFT(creatives!G100,7)="http://",LEFT(creatives!G100,8)="https://"), 0, 1)</f>
        <v>1</v>
      </c>
      <c r="E99" s="17" t="n">
        <f aca="false">IF(OR(LEFT(creatives!H100,7)="http://",LEFT(creatives!H100,8)="https://"), 0, 1)</f>
        <v>1</v>
      </c>
      <c r="F99" s="17" t="n">
        <f aca="false">IF(NOT(ISNUMBER(MATCH(creatives!I100,data!G$2:G$6,0))),1,0)</f>
        <v>1</v>
      </c>
      <c r="G99" s="17" t="n">
        <f aca="false">IF(ISBLANK(creatives!J100), 1, 0)</f>
        <v>1</v>
      </c>
      <c r="H99" s="17" t="str">
        <f aca="false">IF(NOT(ISBLANK(creatives!F100)),VLOOKUP(creatives!F100,data!I$2:J$29,2,0),"")</f>
        <v/>
      </c>
      <c r="I99" s="17" t="n">
        <f aca="false">IF(AND(NOT(ISBLANK(creatives!F100)),NOT(ISNUMBER(MATCH(H99,data!J$2:J$29,0)))),1,0)</f>
        <v>0</v>
      </c>
      <c r="J99" s="17" t="str">
        <f aca="false">IF(NOT(ISBLANK(creatives!E100)),VLOOKUP(creatives!E100,data!M$2:N$38,2,0),"")</f>
        <v/>
      </c>
      <c r="K99" s="17" t="n">
        <f aca="false">IF(NOT(ISNUMBER(MATCH(J99,data!N$2:N$38,0))),1,0)</f>
        <v>1</v>
      </c>
      <c r="L99" s="18" t="str">
        <f aca="false">IF(NOT(ISBLANK(creatives!C100)),VLOOKUP(creatives!C100,data!$A$2:$B$705,2,0),"")</f>
        <v/>
      </c>
      <c r="M99" s="17" t="n">
        <f aca="false">IF(NOT(ISNUMBER(MATCH(L99,data!B$2:B$705,0))),1,0)</f>
        <v>1</v>
      </c>
      <c r="N99" s="19" t="b">
        <f aca="false">IF(NOT(A99),TRUE(),AND(A99,SUM(B99,C99,D99,E99,F99,G99,K99,M99,I99)=0))</f>
        <v>1</v>
      </c>
      <c r="O99" s="20" t="n">
        <v>98</v>
      </c>
      <c r="P99" s="19" t="b">
        <f aca="false">IF(A99,COUNTIF(A$2:A99, CONCATENATE("=", TRUE()))=O99, TRUE())</f>
        <v>1</v>
      </c>
      <c r="Q99" s="1" t="n">
        <f aca="false">IF(A99,O99,0)</f>
        <v>0</v>
      </c>
    </row>
    <row r="100" customFormat="false" ht="15.65" hidden="false" customHeight="false" outlineLevel="0" collapsed="false">
      <c r="A100" s="17" t="b">
        <f aca="false">COUNTIF(creatives!B101:J101, "*")&gt;0</f>
        <v>0</v>
      </c>
      <c r="B100" s="17" t="n">
        <f aca="false">IF(OR(NOT(ISTEXT(creatives!B101)), ISBLANK(creatives!B101), LEN(TRIM(creatives!B101))&gt;200), 1, 0)</f>
        <v>1</v>
      </c>
      <c r="C100" s="17" t="n">
        <f aca="false">IF(NOT(ISNUMBER(MATCH(creatives!D101,data!C$2:C$6,0))),1,0)</f>
        <v>1</v>
      </c>
      <c r="D100" s="17" t="n">
        <f aca="false">IF(OR(LEFT(creatives!G101,7)="http://",LEFT(creatives!G101,8)="https://"), 0, 1)</f>
        <v>1</v>
      </c>
      <c r="E100" s="17" t="n">
        <f aca="false">IF(OR(LEFT(creatives!H101,7)="http://",LEFT(creatives!H101,8)="https://"), 0, 1)</f>
        <v>1</v>
      </c>
      <c r="F100" s="17" t="n">
        <f aca="false">IF(NOT(ISNUMBER(MATCH(creatives!I101,data!G$2:G$6,0))),1,0)</f>
        <v>1</v>
      </c>
      <c r="G100" s="17" t="n">
        <f aca="false">IF(ISBLANK(creatives!J101), 1, 0)</f>
        <v>1</v>
      </c>
      <c r="H100" s="17" t="str">
        <f aca="false">IF(NOT(ISBLANK(creatives!F101)),VLOOKUP(creatives!F101,data!I$2:J$29,2,0),"")</f>
        <v/>
      </c>
      <c r="I100" s="17" t="n">
        <f aca="false">IF(AND(NOT(ISBLANK(creatives!F101)),NOT(ISNUMBER(MATCH(H100,data!J$2:J$29,0)))),1,0)</f>
        <v>0</v>
      </c>
      <c r="J100" s="17" t="str">
        <f aca="false">IF(NOT(ISBLANK(creatives!E101)),VLOOKUP(creatives!E101,data!M$2:N$38,2,0),"")</f>
        <v/>
      </c>
      <c r="K100" s="17" t="n">
        <f aca="false">IF(NOT(ISNUMBER(MATCH(J100,data!N$2:N$38,0))),1,0)</f>
        <v>1</v>
      </c>
      <c r="L100" s="18" t="str">
        <f aca="false">IF(NOT(ISBLANK(creatives!C101)),VLOOKUP(creatives!C101,data!$A$2:$B$705,2,0),"")</f>
        <v/>
      </c>
      <c r="M100" s="17" t="n">
        <f aca="false">IF(NOT(ISNUMBER(MATCH(L100,data!B$2:B$705,0))),1,0)</f>
        <v>1</v>
      </c>
      <c r="N100" s="19" t="b">
        <f aca="false">IF(NOT(A100),TRUE(),AND(A100,SUM(B100,C100,D100,E100,F100,G100,K100,M100,I100)=0))</f>
        <v>1</v>
      </c>
      <c r="O100" s="20" t="n">
        <v>99</v>
      </c>
      <c r="P100" s="19" t="b">
        <f aca="false">IF(A100,COUNTIF(A$2:A100, CONCATENATE("=", TRUE()))=O100, TRUE())</f>
        <v>1</v>
      </c>
      <c r="Q100" s="1" t="n">
        <f aca="false">IF(A100,O100,0)</f>
        <v>0</v>
      </c>
    </row>
    <row r="101" customFormat="false" ht="15.65" hidden="false" customHeight="false" outlineLevel="0" collapsed="false">
      <c r="A101" s="17" t="b">
        <f aca="false">COUNTIF(creatives!B102:J102, "*")&gt;0</f>
        <v>0</v>
      </c>
      <c r="B101" s="17" t="n">
        <f aca="false">IF(OR(NOT(ISTEXT(creatives!B102)), ISBLANK(creatives!B102), LEN(TRIM(creatives!B102))&gt;200), 1, 0)</f>
        <v>1</v>
      </c>
      <c r="C101" s="17" t="n">
        <f aca="false">IF(NOT(ISNUMBER(MATCH(creatives!D102,data!C$2:C$6,0))),1,0)</f>
        <v>1</v>
      </c>
      <c r="D101" s="17" t="n">
        <f aca="false">IF(OR(LEFT(creatives!G102,7)="http://",LEFT(creatives!G102,8)="https://"), 0, 1)</f>
        <v>1</v>
      </c>
      <c r="E101" s="17" t="n">
        <f aca="false">IF(OR(LEFT(creatives!H102,7)="http://",LEFT(creatives!H102,8)="https://"), 0, 1)</f>
        <v>1</v>
      </c>
      <c r="F101" s="17" t="n">
        <f aca="false">IF(NOT(ISNUMBER(MATCH(creatives!I102,data!G$2:G$6,0))),1,0)</f>
        <v>1</v>
      </c>
      <c r="G101" s="17" t="n">
        <f aca="false">IF(ISBLANK(creatives!J102), 1, 0)</f>
        <v>1</v>
      </c>
      <c r="H101" s="17" t="str">
        <f aca="false">IF(NOT(ISBLANK(creatives!F102)),VLOOKUP(creatives!F102,data!I$2:J$29,2,0),"")</f>
        <v/>
      </c>
      <c r="I101" s="17" t="n">
        <f aca="false">IF(AND(NOT(ISBLANK(creatives!F102)),NOT(ISNUMBER(MATCH(H101,data!J$2:J$29,0)))),1,0)</f>
        <v>0</v>
      </c>
      <c r="J101" s="17" t="str">
        <f aca="false">IF(NOT(ISBLANK(creatives!E102)),VLOOKUP(creatives!E102,data!M$2:N$38,2,0),"")</f>
        <v/>
      </c>
      <c r="K101" s="17" t="n">
        <f aca="false">IF(NOT(ISNUMBER(MATCH(J101,data!N$2:N$38,0))),1,0)</f>
        <v>1</v>
      </c>
      <c r="L101" s="18" t="str">
        <f aca="false">IF(NOT(ISBLANK(creatives!C102)),VLOOKUP(creatives!C102,data!$A$2:$B$705,2,0),"")</f>
        <v/>
      </c>
      <c r="M101" s="17" t="n">
        <f aca="false">IF(NOT(ISNUMBER(MATCH(L101,data!B$2:B$705,0))),1,0)</f>
        <v>1</v>
      </c>
      <c r="N101" s="19" t="b">
        <f aca="false">IF(NOT(A101),TRUE(),AND(A101,SUM(B101,C101,D101,E101,F101,G101,K101,M101,I101)=0))</f>
        <v>1</v>
      </c>
      <c r="O101" s="20" t="n">
        <v>100</v>
      </c>
      <c r="P101" s="19" t="b">
        <f aca="false">IF(A101,COUNTIF(A$2:A101, CONCATENATE("=", TRUE()))=O101, TRUE())</f>
        <v>1</v>
      </c>
      <c r="Q101" s="1" t="n">
        <f aca="false">IF(A101,O101,0)</f>
        <v>0</v>
      </c>
    </row>
    <row r="102" customFormat="false" ht="15.65" hidden="false" customHeight="false" outlineLevel="0" collapsed="false">
      <c r="A102" s="17" t="b">
        <f aca="false">COUNTIF(creatives!B103:J103, "*")&gt;0</f>
        <v>0</v>
      </c>
      <c r="B102" s="17" t="n">
        <f aca="false">IF(OR(NOT(ISTEXT(creatives!B103)), ISBLANK(creatives!B103), LEN(TRIM(creatives!B103))&gt;200), 1, 0)</f>
        <v>1</v>
      </c>
      <c r="C102" s="17" t="n">
        <f aca="false">IF(NOT(ISNUMBER(MATCH(creatives!D103,data!C$2:C$6,0))),1,0)</f>
        <v>1</v>
      </c>
      <c r="D102" s="17" t="n">
        <f aca="false">IF(OR(LEFT(creatives!G103,7)="http://",LEFT(creatives!G103,8)="https://"), 0, 1)</f>
        <v>1</v>
      </c>
      <c r="E102" s="17" t="n">
        <f aca="false">IF(OR(LEFT(creatives!H103,7)="http://",LEFT(creatives!H103,8)="https://"), 0, 1)</f>
        <v>1</v>
      </c>
      <c r="F102" s="17" t="n">
        <f aca="false">IF(NOT(ISNUMBER(MATCH(creatives!I103,data!G$2:G$6,0))),1,0)</f>
        <v>1</v>
      </c>
      <c r="G102" s="17" t="n">
        <f aca="false">IF(ISBLANK(creatives!J103), 1, 0)</f>
        <v>1</v>
      </c>
      <c r="H102" s="17" t="str">
        <f aca="false">IF(NOT(ISBLANK(creatives!F103)),VLOOKUP(creatives!F103,data!I$2:J$29,2,0),"")</f>
        <v/>
      </c>
      <c r="I102" s="17" t="n">
        <f aca="false">IF(AND(NOT(ISBLANK(creatives!F103)),NOT(ISNUMBER(MATCH(H102,data!J$2:J$29,0)))),1,0)</f>
        <v>0</v>
      </c>
      <c r="J102" s="17" t="str">
        <f aca="false">IF(NOT(ISBLANK(creatives!E103)),VLOOKUP(creatives!E103,data!M$2:N$38,2,0),"")</f>
        <v/>
      </c>
      <c r="K102" s="17" t="n">
        <f aca="false">IF(NOT(ISNUMBER(MATCH(J102,data!N$2:N$38,0))),1,0)</f>
        <v>1</v>
      </c>
      <c r="L102" s="18" t="str">
        <f aca="false">IF(NOT(ISBLANK(creatives!C103)),VLOOKUP(creatives!C103,data!$A$2:$B$705,2,0),"")</f>
        <v/>
      </c>
      <c r="M102" s="17" t="n">
        <f aca="false">IF(NOT(ISNUMBER(MATCH(L102,data!B$2:B$705,0))),1,0)</f>
        <v>1</v>
      </c>
      <c r="N102" s="19" t="b">
        <f aca="false">IF(NOT(A102),TRUE(),AND(A102,SUM(B102,C102,D102,E102,F102,G102,K102,M102,I102)=0))</f>
        <v>1</v>
      </c>
      <c r="O102" s="20" t="n">
        <v>101</v>
      </c>
      <c r="P102" s="19" t="b">
        <f aca="false">IF(A102,COUNTIF(A$2:A102, CONCATENATE("=", TRUE()))=O102, TRUE())</f>
        <v>1</v>
      </c>
      <c r="Q102" s="1" t="n">
        <f aca="false">IF(A102,O102,0)</f>
        <v>0</v>
      </c>
    </row>
    <row r="103" customFormat="false" ht="15.65" hidden="false" customHeight="false" outlineLevel="0" collapsed="false">
      <c r="A103" s="17" t="b">
        <f aca="false">COUNTIF(creatives!B104:J104, "*")&gt;0</f>
        <v>0</v>
      </c>
      <c r="B103" s="17" t="n">
        <f aca="false">IF(OR(NOT(ISTEXT(creatives!B104)), ISBLANK(creatives!B104), LEN(TRIM(creatives!B104))&gt;200), 1, 0)</f>
        <v>1</v>
      </c>
      <c r="C103" s="17" t="n">
        <f aca="false">IF(NOT(ISNUMBER(MATCH(creatives!D104,data!C$2:C$6,0))),1,0)</f>
        <v>1</v>
      </c>
      <c r="D103" s="17" t="n">
        <f aca="false">IF(OR(LEFT(creatives!G104,7)="http://",LEFT(creatives!G104,8)="https://"), 0, 1)</f>
        <v>1</v>
      </c>
      <c r="E103" s="17" t="n">
        <f aca="false">IF(OR(LEFT(creatives!H104,7)="http://",LEFT(creatives!H104,8)="https://"), 0, 1)</f>
        <v>1</v>
      </c>
      <c r="F103" s="17" t="n">
        <f aca="false">IF(NOT(ISNUMBER(MATCH(creatives!I104,data!G$2:G$6,0))),1,0)</f>
        <v>1</v>
      </c>
      <c r="G103" s="17" t="n">
        <f aca="false">IF(ISBLANK(creatives!J104), 1, 0)</f>
        <v>1</v>
      </c>
      <c r="H103" s="17" t="str">
        <f aca="false">IF(NOT(ISBLANK(creatives!F104)),VLOOKUP(creatives!F104,data!I$2:J$29,2,0),"")</f>
        <v/>
      </c>
      <c r="I103" s="17" t="n">
        <f aca="false">IF(AND(NOT(ISBLANK(creatives!F104)),NOT(ISNUMBER(MATCH(H103,data!J$2:J$29,0)))),1,0)</f>
        <v>0</v>
      </c>
      <c r="J103" s="17" t="str">
        <f aca="false">IF(NOT(ISBLANK(creatives!E104)),VLOOKUP(creatives!E104,data!M$2:N$38,2,0),"")</f>
        <v/>
      </c>
      <c r="K103" s="17" t="n">
        <f aca="false">IF(NOT(ISNUMBER(MATCH(J103,data!N$2:N$38,0))),1,0)</f>
        <v>1</v>
      </c>
      <c r="L103" s="18" t="str">
        <f aca="false">IF(NOT(ISBLANK(creatives!C104)),VLOOKUP(creatives!C104,data!$A$2:$B$705,2,0),"")</f>
        <v/>
      </c>
      <c r="M103" s="17" t="n">
        <f aca="false">IF(NOT(ISNUMBER(MATCH(L103,data!B$2:B$705,0))),1,0)</f>
        <v>1</v>
      </c>
      <c r="N103" s="19" t="b">
        <f aca="false">IF(NOT(A103),TRUE(),AND(A103,SUM(B103,C103,D103,E103,F103,G103,K103,M103,I103)=0))</f>
        <v>1</v>
      </c>
      <c r="O103" s="20" t="n">
        <v>102</v>
      </c>
      <c r="P103" s="19" t="b">
        <f aca="false">IF(A103,COUNTIF(A$2:A103, CONCATENATE("=", TRUE()))=O103, TRUE())</f>
        <v>1</v>
      </c>
      <c r="Q103" s="1" t="n">
        <f aca="false">IF(A103,O103,0)</f>
        <v>0</v>
      </c>
    </row>
    <row r="104" customFormat="false" ht="15.65" hidden="false" customHeight="false" outlineLevel="0" collapsed="false">
      <c r="A104" s="17" t="b">
        <f aca="false">COUNTIF(creatives!B105:J105, "*")&gt;0</f>
        <v>0</v>
      </c>
      <c r="B104" s="17" t="n">
        <f aca="false">IF(OR(NOT(ISTEXT(creatives!B105)), ISBLANK(creatives!B105), LEN(TRIM(creatives!B105))&gt;200), 1, 0)</f>
        <v>1</v>
      </c>
      <c r="C104" s="17" t="n">
        <f aca="false">IF(NOT(ISNUMBER(MATCH(creatives!D105,data!C$2:C$6,0))),1,0)</f>
        <v>1</v>
      </c>
      <c r="D104" s="17" t="n">
        <f aca="false">IF(OR(LEFT(creatives!G105,7)="http://",LEFT(creatives!G105,8)="https://"), 0, 1)</f>
        <v>1</v>
      </c>
      <c r="E104" s="17" t="n">
        <f aca="false">IF(OR(LEFT(creatives!H105,7)="http://",LEFT(creatives!H105,8)="https://"), 0, 1)</f>
        <v>1</v>
      </c>
      <c r="F104" s="17" t="n">
        <f aca="false">IF(NOT(ISNUMBER(MATCH(creatives!I105,data!G$2:G$6,0))),1,0)</f>
        <v>1</v>
      </c>
      <c r="G104" s="17" t="n">
        <f aca="false">IF(ISBLANK(creatives!J105), 1, 0)</f>
        <v>1</v>
      </c>
      <c r="H104" s="17" t="str">
        <f aca="false">IF(NOT(ISBLANK(creatives!F105)),VLOOKUP(creatives!F105,data!I$2:J$29,2,0),"")</f>
        <v/>
      </c>
      <c r="I104" s="17" t="n">
        <f aca="false">IF(AND(NOT(ISBLANK(creatives!F105)),NOT(ISNUMBER(MATCH(H104,data!J$2:J$29,0)))),1,0)</f>
        <v>0</v>
      </c>
      <c r="J104" s="17" t="str">
        <f aca="false">IF(NOT(ISBLANK(creatives!E105)),VLOOKUP(creatives!E105,data!M$2:N$38,2,0),"")</f>
        <v/>
      </c>
      <c r="K104" s="17" t="n">
        <f aca="false">IF(NOT(ISNUMBER(MATCH(J104,data!N$2:N$38,0))),1,0)</f>
        <v>1</v>
      </c>
      <c r="L104" s="18" t="str">
        <f aca="false">IF(NOT(ISBLANK(creatives!C105)),VLOOKUP(creatives!C105,data!$A$2:$B$705,2,0),"")</f>
        <v/>
      </c>
      <c r="M104" s="17" t="n">
        <f aca="false">IF(NOT(ISNUMBER(MATCH(L104,data!B$2:B$705,0))),1,0)</f>
        <v>1</v>
      </c>
      <c r="N104" s="19" t="b">
        <f aca="false">IF(NOT(A104),TRUE(),AND(A104,SUM(B104,C104,D104,E104,F104,G104,K104,M104,I104)=0))</f>
        <v>1</v>
      </c>
      <c r="O104" s="20" t="n">
        <v>103</v>
      </c>
      <c r="P104" s="19" t="b">
        <f aca="false">IF(A104,COUNTIF(A$2:A104, CONCATENATE("=", TRUE()))=O104, TRUE())</f>
        <v>1</v>
      </c>
      <c r="Q104" s="1" t="n">
        <f aca="false">IF(A104,O104,0)</f>
        <v>0</v>
      </c>
    </row>
    <row r="105" customFormat="false" ht="15.65" hidden="false" customHeight="false" outlineLevel="0" collapsed="false">
      <c r="A105" s="17" t="b">
        <f aca="false">COUNTIF(creatives!B106:J106, "*")&gt;0</f>
        <v>0</v>
      </c>
      <c r="B105" s="17" t="n">
        <f aca="false">IF(OR(NOT(ISTEXT(creatives!B106)), ISBLANK(creatives!B106), LEN(TRIM(creatives!B106))&gt;200), 1, 0)</f>
        <v>1</v>
      </c>
      <c r="C105" s="17" t="n">
        <f aca="false">IF(NOT(ISNUMBER(MATCH(creatives!D106,data!C$2:C$6,0))),1,0)</f>
        <v>1</v>
      </c>
      <c r="D105" s="17" t="n">
        <f aca="false">IF(OR(LEFT(creatives!G106,7)="http://",LEFT(creatives!G106,8)="https://"), 0, 1)</f>
        <v>1</v>
      </c>
      <c r="E105" s="17" t="n">
        <f aca="false">IF(OR(LEFT(creatives!H106,7)="http://",LEFT(creatives!H106,8)="https://"), 0, 1)</f>
        <v>1</v>
      </c>
      <c r="F105" s="17" t="n">
        <f aca="false">IF(NOT(ISNUMBER(MATCH(creatives!I106,data!G$2:G$6,0))),1,0)</f>
        <v>1</v>
      </c>
      <c r="G105" s="17" t="n">
        <f aca="false">IF(ISBLANK(creatives!J106), 1, 0)</f>
        <v>1</v>
      </c>
      <c r="H105" s="17" t="str">
        <f aca="false">IF(NOT(ISBLANK(creatives!F106)),VLOOKUP(creatives!F106,data!I$2:J$29,2,0),"")</f>
        <v/>
      </c>
      <c r="I105" s="17" t="n">
        <f aca="false">IF(AND(NOT(ISBLANK(creatives!F106)),NOT(ISNUMBER(MATCH(H105,data!J$2:J$29,0)))),1,0)</f>
        <v>0</v>
      </c>
      <c r="J105" s="17" t="str">
        <f aca="false">IF(NOT(ISBLANK(creatives!E106)),VLOOKUP(creatives!E106,data!M$2:N$38,2,0),"")</f>
        <v/>
      </c>
      <c r="K105" s="17" t="n">
        <f aca="false">IF(NOT(ISNUMBER(MATCH(J105,data!N$2:N$38,0))),1,0)</f>
        <v>1</v>
      </c>
      <c r="L105" s="18" t="str">
        <f aca="false">IF(NOT(ISBLANK(creatives!C106)),VLOOKUP(creatives!C106,data!$A$2:$B$705,2,0),"")</f>
        <v/>
      </c>
      <c r="M105" s="17" t="n">
        <f aca="false">IF(NOT(ISNUMBER(MATCH(L105,data!B$2:B$705,0))),1,0)</f>
        <v>1</v>
      </c>
      <c r="N105" s="19" t="b">
        <f aca="false">IF(NOT(A105),TRUE(),AND(A105,SUM(B105,C105,D105,E105,F105,G105,K105,M105,I105)=0))</f>
        <v>1</v>
      </c>
      <c r="O105" s="20" t="n">
        <v>104</v>
      </c>
      <c r="P105" s="19" t="b">
        <f aca="false">IF(A105,COUNTIF(A$2:A105, CONCATENATE("=", TRUE()))=O105, TRUE())</f>
        <v>1</v>
      </c>
      <c r="Q105" s="1" t="n">
        <f aca="false">IF(A105,O105,0)</f>
        <v>0</v>
      </c>
    </row>
    <row r="106" customFormat="false" ht="15.65" hidden="false" customHeight="false" outlineLevel="0" collapsed="false">
      <c r="A106" s="17" t="b">
        <f aca="false">COUNTIF(creatives!B107:J107, "*")&gt;0</f>
        <v>0</v>
      </c>
      <c r="B106" s="17" t="n">
        <f aca="false">IF(OR(NOT(ISTEXT(creatives!B107)), ISBLANK(creatives!B107), LEN(TRIM(creatives!B107))&gt;200), 1, 0)</f>
        <v>1</v>
      </c>
      <c r="C106" s="17" t="n">
        <f aca="false">IF(NOT(ISNUMBER(MATCH(creatives!D107,data!C$2:C$6,0))),1,0)</f>
        <v>1</v>
      </c>
      <c r="D106" s="17" t="n">
        <f aca="false">IF(OR(LEFT(creatives!G107,7)="http://",LEFT(creatives!G107,8)="https://"), 0, 1)</f>
        <v>1</v>
      </c>
      <c r="E106" s="17" t="n">
        <f aca="false">IF(OR(LEFT(creatives!H107,7)="http://",LEFT(creatives!H107,8)="https://"), 0, 1)</f>
        <v>1</v>
      </c>
      <c r="F106" s="17" t="n">
        <f aca="false">IF(NOT(ISNUMBER(MATCH(creatives!I107,data!G$2:G$6,0))),1,0)</f>
        <v>1</v>
      </c>
      <c r="G106" s="17" t="n">
        <f aca="false">IF(ISBLANK(creatives!J107), 1, 0)</f>
        <v>1</v>
      </c>
      <c r="H106" s="17" t="str">
        <f aca="false">IF(NOT(ISBLANK(creatives!F107)),VLOOKUP(creatives!F107,data!I$2:J$29,2,0),"")</f>
        <v/>
      </c>
      <c r="I106" s="17" t="n">
        <f aca="false">IF(AND(NOT(ISBLANK(creatives!F107)),NOT(ISNUMBER(MATCH(H106,data!J$2:J$29,0)))),1,0)</f>
        <v>0</v>
      </c>
      <c r="J106" s="17" t="str">
        <f aca="false">IF(NOT(ISBLANK(creatives!E107)),VLOOKUP(creatives!E107,data!M$2:N$38,2,0),"")</f>
        <v/>
      </c>
      <c r="K106" s="17" t="n">
        <f aca="false">IF(NOT(ISNUMBER(MATCH(J106,data!N$2:N$38,0))),1,0)</f>
        <v>1</v>
      </c>
      <c r="L106" s="18" t="str">
        <f aca="false">IF(NOT(ISBLANK(creatives!C107)),VLOOKUP(creatives!C107,data!$A$2:$B$705,2,0),"")</f>
        <v/>
      </c>
      <c r="M106" s="17" t="n">
        <f aca="false">IF(NOT(ISNUMBER(MATCH(L106,data!B$2:B$705,0))),1,0)</f>
        <v>1</v>
      </c>
      <c r="N106" s="19" t="b">
        <f aca="false">IF(NOT(A106),TRUE(),AND(A106,SUM(B106,C106,D106,E106,F106,G106,K106,M106,I106)=0))</f>
        <v>1</v>
      </c>
      <c r="O106" s="20" t="n">
        <v>105</v>
      </c>
      <c r="P106" s="19" t="b">
        <f aca="false">IF(A106,COUNTIF(A$2:A106, CONCATENATE("=", TRUE()))=O106, TRUE())</f>
        <v>1</v>
      </c>
      <c r="Q106" s="1" t="n">
        <f aca="false">IF(A106,O106,0)</f>
        <v>0</v>
      </c>
    </row>
    <row r="107" customFormat="false" ht="15.65" hidden="false" customHeight="false" outlineLevel="0" collapsed="false">
      <c r="A107" s="17" t="b">
        <f aca="false">COUNTIF(creatives!B108:J108, "*")&gt;0</f>
        <v>0</v>
      </c>
      <c r="B107" s="17" t="n">
        <f aca="false">IF(OR(NOT(ISTEXT(creatives!B108)), ISBLANK(creatives!B108), LEN(TRIM(creatives!B108))&gt;200), 1, 0)</f>
        <v>1</v>
      </c>
      <c r="C107" s="17" t="n">
        <f aca="false">IF(NOT(ISNUMBER(MATCH(creatives!D108,data!C$2:C$6,0))),1,0)</f>
        <v>1</v>
      </c>
      <c r="D107" s="17" t="n">
        <f aca="false">IF(OR(LEFT(creatives!G108,7)="http://",LEFT(creatives!G108,8)="https://"), 0, 1)</f>
        <v>1</v>
      </c>
      <c r="E107" s="17" t="n">
        <f aca="false">IF(OR(LEFT(creatives!H108,7)="http://",LEFT(creatives!H108,8)="https://"), 0, 1)</f>
        <v>1</v>
      </c>
      <c r="F107" s="17" t="n">
        <f aca="false">IF(NOT(ISNUMBER(MATCH(creatives!I108,data!G$2:G$6,0))),1,0)</f>
        <v>1</v>
      </c>
      <c r="G107" s="17" t="n">
        <f aca="false">IF(ISBLANK(creatives!J108), 1, 0)</f>
        <v>1</v>
      </c>
      <c r="H107" s="17" t="str">
        <f aca="false">IF(NOT(ISBLANK(creatives!F108)),VLOOKUP(creatives!F108,data!I$2:J$29,2,0),"")</f>
        <v/>
      </c>
      <c r="I107" s="17" t="n">
        <f aca="false">IF(AND(NOT(ISBLANK(creatives!F108)),NOT(ISNUMBER(MATCH(H107,data!J$2:J$29,0)))),1,0)</f>
        <v>0</v>
      </c>
      <c r="J107" s="17" t="str">
        <f aca="false">IF(NOT(ISBLANK(creatives!E108)),VLOOKUP(creatives!E108,data!M$2:N$38,2,0),"")</f>
        <v/>
      </c>
      <c r="K107" s="17" t="n">
        <f aca="false">IF(NOT(ISNUMBER(MATCH(J107,data!N$2:N$38,0))),1,0)</f>
        <v>1</v>
      </c>
      <c r="L107" s="18" t="str">
        <f aca="false">IF(NOT(ISBLANK(creatives!C108)),VLOOKUP(creatives!C108,data!$A$2:$B$705,2,0),"")</f>
        <v/>
      </c>
      <c r="M107" s="17" t="n">
        <f aca="false">IF(NOT(ISNUMBER(MATCH(L107,data!B$2:B$705,0))),1,0)</f>
        <v>1</v>
      </c>
      <c r="N107" s="19" t="b">
        <f aca="false">IF(NOT(A107),TRUE(),AND(A107,SUM(B107,C107,D107,E107,F107,G107,K107,M107,I107)=0))</f>
        <v>1</v>
      </c>
      <c r="O107" s="20" t="n">
        <v>106</v>
      </c>
      <c r="P107" s="19" t="b">
        <f aca="false">IF(A107,COUNTIF(A$2:A107, CONCATENATE("=", TRUE()))=O107, TRUE())</f>
        <v>1</v>
      </c>
      <c r="Q107" s="1" t="n">
        <f aca="false">IF(A107,O107,0)</f>
        <v>0</v>
      </c>
    </row>
    <row r="108" customFormat="false" ht="15.65" hidden="false" customHeight="false" outlineLevel="0" collapsed="false">
      <c r="A108" s="17" t="b">
        <f aca="false">COUNTIF(creatives!B109:J109, "*")&gt;0</f>
        <v>0</v>
      </c>
      <c r="B108" s="17" t="n">
        <f aca="false">IF(OR(NOT(ISTEXT(creatives!B109)), ISBLANK(creatives!B109), LEN(TRIM(creatives!B109))&gt;200), 1, 0)</f>
        <v>1</v>
      </c>
      <c r="C108" s="17" t="n">
        <f aca="false">IF(NOT(ISNUMBER(MATCH(creatives!D109,data!C$2:C$6,0))),1,0)</f>
        <v>1</v>
      </c>
      <c r="D108" s="17" t="n">
        <f aca="false">IF(OR(LEFT(creatives!G109,7)="http://",LEFT(creatives!G109,8)="https://"), 0, 1)</f>
        <v>1</v>
      </c>
      <c r="E108" s="17" t="n">
        <f aca="false">IF(OR(LEFT(creatives!H109,7)="http://",LEFT(creatives!H109,8)="https://"), 0, 1)</f>
        <v>1</v>
      </c>
      <c r="F108" s="17" t="n">
        <f aca="false">IF(NOT(ISNUMBER(MATCH(creatives!I109,data!G$2:G$6,0))),1,0)</f>
        <v>1</v>
      </c>
      <c r="G108" s="17" t="n">
        <f aca="false">IF(ISBLANK(creatives!J109), 1, 0)</f>
        <v>1</v>
      </c>
      <c r="H108" s="17" t="str">
        <f aca="false">IF(NOT(ISBLANK(creatives!F109)),VLOOKUP(creatives!F109,data!I$2:J$29,2,0),"")</f>
        <v/>
      </c>
      <c r="I108" s="17" t="n">
        <f aca="false">IF(AND(NOT(ISBLANK(creatives!F109)),NOT(ISNUMBER(MATCH(H108,data!J$2:J$29,0)))),1,0)</f>
        <v>0</v>
      </c>
      <c r="J108" s="17" t="str">
        <f aca="false">IF(NOT(ISBLANK(creatives!E109)),VLOOKUP(creatives!E109,data!M$2:N$38,2,0),"")</f>
        <v/>
      </c>
      <c r="K108" s="17" t="n">
        <f aca="false">IF(NOT(ISNUMBER(MATCH(J108,data!N$2:N$38,0))),1,0)</f>
        <v>1</v>
      </c>
      <c r="L108" s="18" t="str">
        <f aca="false">IF(NOT(ISBLANK(creatives!C109)),VLOOKUP(creatives!C109,data!$A$2:$B$705,2,0),"")</f>
        <v/>
      </c>
      <c r="M108" s="17" t="n">
        <f aca="false">IF(NOT(ISNUMBER(MATCH(L108,data!B$2:B$705,0))),1,0)</f>
        <v>1</v>
      </c>
      <c r="N108" s="19" t="b">
        <f aca="false">IF(NOT(A108),TRUE(),AND(A108,SUM(B108,C108,D108,E108,F108,G108,K108,M108,I108)=0))</f>
        <v>1</v>
      </c>
      <c r="O108" s="20" t="n">
        <v>107</v>
      </c>
      <c r="P108" s="19" t="b">
        <f aca="false">IF(A108,COUNTIF(A$2:A108, CONCATENATE("=", TRUE()))=O108, TRUE())</f>
        <v>1</v>
      </c>
      <c r="Q108" s="1" t="n">
        <f aca="false">IF(A108,O108,0)</f>
        <v>0</v>
      </c>
    </row>
    <row r="109" customFormat="false" ht="15.65" hidden="false" customHeight="false" outlineLevel="0" collapsed="false">
      <c r="A109" s="17" t="b">
        <f aca="false">COUNTIF(creatives!B110:J110, "*")&gt;0</f>
        <v>0</v>
      </c>
      <c r="B109" s="17" t="n">
        <f aca="false">IF(OR(NOT(ISTEXT(creatives!B110)), ISBLANK(creatives!B110), LEN(TRIM(creatives!B110))&gt;200), 1, 0)</f>
        <v>1</v>
      </c>
      <c r="C109" s="17" t="n">
        <f aca="false">IF(NOT(ISNUMBER(MATCH(creatives!D110,data!C$2:C$6,0))),1,0)</f>
        <v>1</v>
      </c>
      <c r="D109" s="17" t="n">
        <f aca="false">IF(OR(LEFT(creatives!G110,7)="http://",LEFT(creatives!G110,8)="https://"), 0, 1)</f>
        <v>1</v>
      </c>
      <c r="E109" s="17" t="n">
        <f aca="false">IF(OR(LEFT(creatives!H110,7)="http://",LEFT(creatives!H110,8)="https://"), 0, 1)</f>
        <v>1</v>
      </c>
      <c r="F109" s="17" t="n">
        <f aca="false">IF(NOT(ISNUMBER(MATCH(creatives!I110,data!G$2:G$6,0))),1,0)</f>
        <v>1</v>
      </c>
      <c r="G109" s="17" t="n">
        <f aca="false">IF(ISBLANK(creatives!J110), 1, 0)</f>
        <v>1</v>
      </c>
      <c r="H109" s="17" t="str">
        <f aca="false">IF(NOT(ISBLANK(creatives!F110)),VLOOKUP(creatives!F110,data!I$2:J$29,2,0),"")</f>
        <v/>
      </c>
      <c r="I109" s="17" t="n">
        <f aca="false">IF(AND(NOT(ISBLANK(creatives!F110)),NOT(ISNUMBER(MATCH(H109,data!J$2:J$29,0)))),1,0)</f>
        <v>0</v>
      </c>
      <c r="J109" s="17" t="str">
        <f aca="false">IF(NOT(ISBLANK(creatives!E110)),VLOOKUP(creatives!E110,data!M$2:N$38,2,0),"")</f>
        <v/>
      </c>
      <c r="K109" s="17" t="n">
        <f aca="false">IF(NOT(ISNUMBER(MATCH(J109,data!N$2:N$38,0))),1,0)</f>
        <v>1</v>
      </c>
      <c r="L109" s="18" t="str">
        <f aca="false">IF(NOT(ISBLANK(creatives!C110)),VLOOKUP(creatives!C110,data!$A$2:$B$705,2,0),"")</f>
        <v/>
      </c>
      <c r="M109" s="17" t="n">
        <f aca="false">IF(NOT(ISNUMBER(MATCH(L109,data!B$2:B$705,0))),1,0)</f>
        <v>1</v>
      </c>
      <c r="N109" s="19" t="b">
        <f aca="false">IF(NOT(A109),TRUE(),AND(A109,SUM(B109,C109,D109,E109,F109,G109,K109,M109,I109)=0))</f>
        <v>1</v>
      </c>
      <c r="O109" s="20" t="n">
        <v>108</v>
      </c>
      <c r="P109" s="19" t="b">
        <f aca="false">IF(A109,COUNTIF(A$2:A109, CONCATENATE("=", TRUE()))=O109, TRUE())</f>
        <v>1</v>
      </c>
      <c r="Q109" s="1" t="n">
        <f aca="false">IF(A109,O109,0)</f>
        <v>0</v>
      </c>
    </row>
    <row r="110" customFormat="false" ht="15.65" hidden="false" customHeight="false" outlineLevel="0" collapsed="false">
      <c r="A110" s="17" t="b">
        <f aca="false">COUNTIF(creatives!B111:J111, "*")&gt;0</f>
        <v>0</v>
      </c>
      <c r="B110" s="17" t="n">
        <f aca="false">IF(OR(NOT(ISTEXT(creatives!B111)), ISBLANK(creatives!B111), LEN(TRIM(creatives!B111))&gt;200), 1, 0)</f>
        <v>1</v>
      </c>
      <c r="C110" s="17" t="n">
        <f aca="false">IF(NOT(ISNUMBER(MATCH(creatives!D111,data!C$2:C$6,0))),1,0)</f>
        <v>1</v>
      </c>
      <c r="D110" s="17" t="n">
        <f aca="false">IF(OR(LEFT(creatives!G111,7)="http://",LEFT(creatives!G111,8)="https://"), 0, 1)</f>
        <v>1</v>
      </c>
      <c r="E110" s="17" t="n">
        <f aca="false">IF(OR(LEFT(creatives!H111,7)="http://",LEFT(creatives!H111,8)="https://"), 0, 1)</f>
        <v>1</v>
      </c>
      <c r="F110" s="17" t="n">
        <f aca="false">IF(NOT(ISNUMBER(MATCH(creatives!I111,data!G$2:G$6,0))),1,0)</f>
        <v>1</v>
      </c>
      <c r="G110" s="17" t="n">
        <f aca="false">IF(ISBLANK(creatives!J111), 1, 0)</f>
        <v>1</v>
      </c>
      <c r="H110" s="17" t="str">
        <f aca="false">IF(NOT(ISBLANK(creatives!F111)),VLOOKUP(creatives!F111,data!I$2:J$29,2,0),"")</f>
        <v/>
      </c>
      <c r="I110" s="17" t="n">
        <f aca="false">IF(AND(NOT(ISBLANK(creatives!F111)),NOT(ISNUMBER(MATCH(H110,data!J$2:J$29,0)))),1,0)</f>
        <v>0</v>
      </c>
      <c r="J110" s="17" t="str">
        <f aca="false">IF(NOT(ISBLANK(creatives!E111)),VLOOKUP(creatives!E111,data!M$2:N$38,2,0),"")</f>
        <v/>
      </c>
      <c r="K110" s="17" t="n">
        <f aca="false">IF(NOT(ISNUMBER(MATCH(J110,data!N$2:N$38,0))),1,0)</f>
        <v>1</v>
      </c>
      <c r="L110" s="18" t="str">
        <f aca="false">IF(NOT(ISBLANK(creatives!C111)),VLOOKUP(creatives!C111,data!$A$2:$B$705,2,0),"")</f>
        <v/>
      </c>
      <c r="M110" s="17" t="n">
        <f aca="false">IF(NOT(ISNUMBER(MATCH(L110,data!B$2:B$705,0))),1,0)</f>
        <v>1</v>
      </c>
      <c r="N110" s="19" t="b">
        <f aca="false">IF(NOT(A110),TRUE(),AND(A110,SUM(B110,C110,D110,E110,F110,G110,K110,M110,I110)=0))</f>
        <v>1</v>
      </c>
      <c r="O110" s="20" t="n">
        <v>109</v>
      </c>
      <c r="P110" s="19" t="b">
        <f aca="false">IF(A110,COUNTIF(A$2:A110, CONCATENATE("=", TRUE()))=O110, TRUE())</f>
        <v>1</v>
      </c>
      <c r="Q110" s="1" t="n">
        <f aca="false">IF(A110,O110,0)</f>
        <v>0</v>
      </c>
    </row>
    <row r="111" customFormat="false" ht="15.65" hidden="false" customHeight="false" outlineLevel="0" collapsed="false">
      <c r="A111" s="17" t="b">
        <f aca="false">COUNTIF(creatives!B112:J112, "*")&gt;0</f>
        <v>0</v>
      </c>
      <c r="B111" s="17" t="n">
        <f aca="false">IF(OR(NOT(ISTEXT(creatives!B112)), ISBLANK(creatives!B112), LEN(TRIM(creatives!B112))&gt;200), 1, 0)</f>
        <v>1</v>
      </c>
      <c r="C111" s="17" t="n">
        <f aca="false">IF(NOT(ISNUMBER(MATCH(creatives!D112,data!C$2:C$6,0))),1,0)</f>
        <v>1</v>
      </c>
      <c r="D111" s="17" t="n">
        <f aca="false">IF(OR(LEFT(creatives!G112,7)="http://",LEFT(creatives!G112,8)="https://"), 0, 1)</f>
        <v>1</v>
      </c>
      <c r="E111" s="17" t="n">
        <f aca="false">IF(OR(LEFT(creatives!H112,7)="http://",LEFT(creatives!H112,8)="https://"), 0, 1)</f>
        <v>1</v>
      </c>
      <c r="F111" s="17" t="n">
        <f aca="false">IF(NOT(ISNUMBER(MATCH(creatives!I112,data!G$2:G$6,0))),1,0)</f>
        <v>1</v>
      </c>
      <c r="G111" s="17" t="n">
        <f aca="false">IF(ISBLANK(creatives!J112), 1, 0)</f>
        <v>1</v>
      </c>
      <c r="H111" s="17" t="str">
        <f aca="false">IF(NOT(ISBLANK(creatives!F112)),VLOOKUP(creatives!F112,data!I$2:J$29,2,0),"")</f>
        <v/>
      </c>
      <c r="I111" s="17" t="n">
        <f aca="false">IF(AND(NOT(ISBLANK(creatives!F112)),NOT(ISNUMBER(MATCH(H111,data!J$2:J$29,0)))),1,0)</f>
        <v>0</v>
      </c>
      <c r="J111" s="17" t="str">
        <f aca="false">IF(NOT(ISBLANK(creatives!E112)),VLOOKUP(creatives!E112,data!M$2:N$38,2,0),"")</f>
        <v/>
      </c>
      <c r="K111" s="17" t="n">
        <f aca="false">IF(NOT(ISNUMBER(MATCH(J111,data!N$2:N$38,0))),1,0)</f>
        <v>1</v>
      </c>
      <c r="L111" s="18" t="str">
        <f aca="false">IF(NOT(ISBLANK(creatives!C112)),VLOOKUP(creatives!C112,data!$A$2:$B$705,2,0),"")</f>
        <v/>
      </c>
      <c r="M111" s="17" t="n">
        <f aca="false">IF(NOT(ISNUMBER(MATCH(L111,data!B$2:B$705,0))),1,0)</f>
        <v>1</v>
      </c>
      <c r="N111" s="19" t="b">
        <f aca="false">IF(NOT(A111),TRUE(),AND(A111,SUM(B111,C111,D111,E111,F111,G111,K111,M111,I111)=0))</f>
        <v>1</v>
      </c>
      <c r="O111" s="20" t="n">
        <v>110</v>
      </c>
      <c r="P111" s="19" t="b">
        <f aca="false">IF(A111,COUNTIF(A$2:A111, CONCATENATE("=", TRUE()))=O111, TRUE())</f>
        <v>1</v>
      </c>
      <c r="Q111" s="1" t="n">
        <f aca="false">IF(A111,O111,0)</f>
        <v>0</v>
      </c>
    </row>
    <row r="112" customFormat="false" ht="15.65" hidden="false" customHeight="false" outlineLevel="0" collapsed="false">
      <c r="A112" s="17" t="b">
        <f aca="false">COUNTIF(creatives!B113:J113, "*")&gt;0</f>
        <v>0</v>
      </c>
      <c r="B112" s="17" t="n">
        <f aca="false">IF(OR(NOT(ISTEXT(creatives!B113)), ISBLANK(creatives!B113), LEN(TRIM(creatives!B113))&gt;200), 1, 0)</f>
        <v>1</v>
      </c>
      <c r="C112" s="17" t="n">
        <f aca="false">IF(NOT(ISNUMBER(MATCH(creatives!D113,data!C$2:C$6,0))),1,0)</f>
        <v>1</v>
      </c>
      <c r="D112" s="17" t="n">
        <f aca="false">IF(OR(LEFT(creatives!G113,7)="http://",LEFT(creatives!G113,8)="https://"), 0, 1)</f>
        <v>1</v>
      </c>
      <c r="E112" s="17" t="n">
        <f aca="false">IF(OR(LEFT(creatives!H113,7)="http://",LEFT(creatives!H113,8)="https://"), 0, 1)</f>
        <v>1</v>
      </c>
      <c r="F112" s="17" t="n">
        <f aca="false">IF(NOT(ISNUMBER(MATCH(creatives!I113,data!G$2:G$6,0))),1,0)</f>
        <v>1</v>
      </c>
      <c r="G112" s="17" t="n">
        <f aca="false">IF(ISBLANK(creatives!J113), 1, 0)</f>
        <v>1</v>
      </c>
      <c r="H112" s="17" t="str">
        <f aca="false">IF(NOT(ISBLANK(creatives!F113)),VLOOKUP(creatives!F113,data!I$2:J$29,2,0),"")</f>
        <v/>
      </c>
      <c r="I112" s="17" t="n">
        <f aca="false">IF(AND(NOT(ISBLANK(creatives!F113)),NOT(ISNUMBER(MATCH(H112,data!J$2:J$29,0)))),1,0)</f>
        <v>0</v>
      </c>
      <c r="J112" s="17" t="str">
        <f aca="false">IF(NOT(ISBLANK(creatives!E113)),VLOOKUP(creatives!E113,data!M$2:N$38,2,0),"")</f>
        <v/>
      </c>
      <c r="K112" s="17" t="n">
        <f aca="false">IF(NOT(ISNUMBER(MATCH(J112,data!N$2:N$38,0))),1,0)</f>
        <v>1</v>
      </c>
      <c r="L112" s="18" t="str">
        <f aca="false">IF(NOT(ISBLANK(creatives!C113)),VLOOKUP(creatives!C113,data!$A$2:$B$705,2,0),"")</f>
        <v/>
      </c>
      <c r="M112" s="17" t="n">
        <f aca="false">IF(NOT(ISNUMBER(MATCH(L112,data!B$2:B$705,0))),1,0)</f>
        <v>1</v>
      </c>
      <c r="N112" s="19" t="b">
        <f aca="false">IF(NOT(A112),TRUE(),AND(A112,SUM(B112,C112,D112,E112,F112,G112,K112,M112,I112)=0))</f>
        <v>1</v>
      </c>
      <c r="O112" s="20" t="n">
        <v>111</v>
      </c>
      <c r="P112" s="19" t="b">
        <f aca="false">IF(A112,COUNTIF(A$2:A112, CONCATENATE("=", TRUE()))=O112, TRUE())</f>
        <v>1</v>
      </c>
      <c r="Q112" s="1" t="n">
        <f aca="false">IF(A112,O112,0)</f>
        <v>0</v>
      </c>
    </row>
    <row r="113" customFormat="false" ht="15.65" hidden="false" customHeight="false" outlineLevel="0" collapsed="false">
      <c r="A113" s="17" t="b">
        <f aca="false">COUNTIF(creatives!B114:J114, "*")&gt;0</f>
        <v>0</v>
      </c>
      <c r="B113" s="17" t="n">
        <f aca="false">IF(OR(NOT(ISTEXT(creatives!B114)), ISBLANK(creatives!B114), LEN(TRIM(creatives!B114))&gt;200), 1, 0)</f>
        <v>1</v>
      </c>
      <c r="C113" s="17" t="n">
        <f aca="false">IF(NOT(ISNUMBER(MATCH(creatives!D114,data!C$2:C$6,0))),1,0)</f>
        <v>1</v>
      </c>
      <c r="D113" s="17" t="n">
        <f aca="false">IF(OR(LEFT(creatives!G114,7)="http://",LEFT(creatives!G114,8)="https://"), 0, 1)</f>
        <v>1</v>
      </c>
      <c r="E113" s="17" t="n">
        <f aca="false">IF(OR(LEFT(creatives!H114,7)="http://",LEFT(creatives!H114,8)="https://"), 0, 1)</f>
        <v>1</v>
      </c>
      <c r="F113" s="17" t="n">
        <f aca="false">IF(NOT(ISNUMBER(MATCH(creatives!I114,data!G$2:G$6,0))),1,0)</f>
        <v>1</v>
      </c>
      <c r="G113" s="17" t="n">
        <f aca="false">IF(ISBLANK(creatives!J114), 1, 0)</f>
        <v>1</v>
      </c>
      <c r="H113" s="17" t="str">
        <f aca="false">IF(NOT(ISBLANK(creatives!F114)),VLOOKUP(creatives!F114,data!I$2:J$29,2,0),"")</f>
        <v/>
      </c>
      <c r="I113" s="17" t="n">
        <f aca="false">IF(AND(NOT(ISBLANK(creatives!F114)),NOT(ISNUMBER(MATCH(H113,data!J$2:J$29,0)))),1,0)</f>
        <v>0</v>
      </c>
      <c r="J113" s="17" t="str">
        <f aca="false">IF(NOT(ISBLANK(creatives!E114)),VLOOKUP(creatives!E114,data!M$2:N$38,2,0),"")</f>
        <v/>
      </c>
      <c r="K113" s="17" t="n">
        <f aca="false">IF(NOT(ISNUMBER(MATCH(J113,data!N$2:N$38,0))),1,0)</f>
        <v>1</v>
      </c>
      <c r="L113" s="18" t="str">
        <f aca="false">IF(NOT(ISBLANK(creatives!C114)),VLOOKUP(creatives!C114,data!$A$2:$B$705,2,0),"")</f>
        <v/>
      </c>
      <c r="M113" s="17" t="n">
        <f aca="false">IF(NOT(ISNUMBER(MATCH(L113,data!B$2:B$705,0))),1,0)</f>
        <v>1</v>
      </c>
      <c r="N113" s="19" t="b">
        <f aca="false">IF(NOT(A113),TRUE(),AND(A113,SUM(B113,C113,D113,E113,F113,G113,K113,M113,I113)=0))</f>
        <v>1</v>
      </c>
      <c r="O113" s="20" t="n">
        <v>112</v>
      </c>
      <c r="P113" s="19" t="b">
        <f aca="false">IF(A113,COUNTIF(A$2:A113, CONCATENATE("=", TRUE()))=O113, TRUE())</f>
        <v>1</v>
      </c>
      <c r="Q113" s="1" t="n">
        <f aca="false">IF(A113,O113,0)</f>
        <v>0</v>
      </c>
    </row>
    <row r="114" customFormat="false" ht="15.65" hidden="false" customHeight="false" outlineLevel="0" collapsed="false">
      <c r="A114" s="17" t="b">
        <f aca="false">COUNTIF(creatives!B115:J115, "*")&gt;0</f>
        <v>0</v>
      </c>
      <c r="B114" s="17" t="n">
        <f aca="false">IF(OR(NOT(ISTEXT(creatives!B115)), ISBLANK(creatives!B115), LEN(TRIM(creatives!B115))&gt;200), 1, 0)</f>
        <v>1</v>
      </c>
      <c r="C114" s="17" t="n">
        <f aca="false">IF(NOT(ISNUMBER(MATCH(creatives!D115,data!C$2:C$6,0))),1,0)</f>
        <v>1</v>
      </c>
      <c r="D114" s="17" t="n">
        <f aca="false">IF(OR(LEFT(creatives!G115,7)="http://",LEFT(creatives!G115,8)="https://"), 0, 1)</f>
        <v>1</v>
      </c>
      <c r="E114" s="17" t="n">
        <f aca="false">IF(OR(LEFT(creatives!H115,7)="http://",LEFT(creatives!H115,8)="https://"), 0, 1)</f>
        <v>1</v>
      </c>
      <c r="F114" s="17" t="n">
        <f aca="false">IF(NOT(ISNUMBER(MATCH(creatives!I115,data!G$2:G$6,0))),1,0)</f>
        <v>1</v>
      </c>
      <c r="G114" s="17" t="n">
        <f aca="false">IF(ISBLANK(creatives!J115), 1, 0)</f>
        <v>1</v>
      </c>
      <c r="H114" s="17" t="str">
        <f aca="false">IF(NOT(ISBLANK(creatives!F115)),VLOOKUP(creatives!F115,data!I$2:J$29,2,0),"")</f>
        <v/>
      </c>
      <c r="I114" s="17" t="n">
        <f aca="false">IF(AND(NOT(ISBLANK(creatives!F115)),NOT(ISNUMBER(MATCH(H114,data!J$2:J$29,0)))),1,0)</f>
        <v>0</v>
      </c>
      <c r="J114" s="17" t="str">
        <f aca="false">IF(NOT(ISBLANK(creatives!E115)),VLOOKUP(creatives!E115,data!M$2:N$38,2,0),"")</f>
        <v/>
      </c>
      <c r="K114" s="17" t="n">
        <f aca="false">IF(NOT(ISNUMBER(MATCH(J114,data!N$2:N$38,0))),1,0)</f>
        <v>1</v>
      </c>
      <c r="L114" s="18" t="str">
        <f aca="false">IF(NOT(ISBLANK(creatives!C115)),VLOOKUP(creatives!C115,data!$A$2:$B$705,2,0),"")</f>
        <v/>
      </c>
      <c r="M114" s="17" t="n">
        <f aca="false">IF(NOT(ISNUMBER(MATCH(L114,data!B$2:B$705,0))),1,0)</f>
        <v>1</v>
      </c>
      <c r="N114" s="19" t="b">
        <f aca="false">IF(NOT(A114),TRUE(),AND(A114,SUM(B114,C114,D114,E114,F114,G114,K114,M114,I114)=0))</f>
        <v>1</v>
      </c>
      <c r="O114" s="20" t="n">
        <v>113</v>
      </c>
      <c r="P114" s="19" t="b">
        <f aca="false">IF(A114,COUNTIF(A$2:A114, CONCATENATE("=", TRUE()))=O114, TRUE())</f>
        <v>1</v>
      </c>
      <c r="Q114" s="1" t="n">
        <f aca="false">IF(A114,O114,0)</f>
        <v>0</v>
      </c>
    </row>
    <row r="115" customFormat="false" ht="15.65" hidden="false" customHeight="false" outlineLevel="0" collapsed="false">
      <c r="A115" s="17" t="b">
        <f aca="false">COUNTIF(creatives!B116:J116, "*")&gt;0</f>
        <v>0</v>
      </c>
      <c r="B115" s="17" t="n">
        <f aca="false">IF(OR(NOT(ISTEXT(creatives!B116)), ISBLANK(creatives!B116), LEN(TRIM(creatives!B116))&gt;200), 1, 0)</f>
        <v>1</v>
      </c>
      <c r="C115" s="17" t="n">
        <f aca="false">IF(NOT(ISNUMBER(MATCH(creatives!D116,data!C$2:C$6,0))),1,0)</f>
        <v>1</v>
      </c>
      <c r="D115" s="17" t="n">
        <f aca="false">IF(OR(LEFT(creatives!G116,7)="http://",LEFT(creatives!G116,8)="https://"), 0, 1)</f>
        <v>1</v>
      </c>
      <c r="E115" s="17" t="n">
        <f aca="false">IF(OR(LEFT(creatives!H116,7)="http://",LEFT(creatives!H116,8)="https://"), 0, 1)</f>
        <v>1</v>
      </c>
      <c r="F115" s="17" t="n">
        <f aca="false">IF(NOT(ISNUMBER(MATCH(creatives!I116,data!G$2:G$6,0))),1,0)</f>
        <v>1</v>
      </c>
      <c r="G115" s="17" t="n">
        <f aca="false">IF(ISBLANK(creatives!J116), 1, 0)</f>
        <v>1</v>
      </c>
      <c r="H115" s="17" t="str">
        <f aca="false">IF(NOT(ISBLANK(creatives!F116)),VLOOKUP(creatives!F116,data!I$2:J$29,2,0),"")</f>
        <v/>
      </c>
      <c r="I115" s="17" t="n">
        <f aca="false">IF(AND(NOT(ISBLANK(creatives!F116)),NOT(ISNUMBER(MATCH(H115,data!J$2:J$29,0)))),1,0)</f>
        <v>0</v>
      </c>
      <c r="J115" s="17" t="str">
        <f aca="false">IF(NOT(ISBLANK(creatives!E116)),VLOOKUP(creatives!E116,data!M$2:N$38,2,0),"")</f>
        <v/>
      </c>
      <c r="K115" s="17" t="n">
        <f aca="false">IF(NOT(ISNUMBER(MATCH(J115,data!N$2:N$38,0))),1,0)</f>
        <v>1</v>
      </c>
      <c r="L115" s="18" t="str">
        <f aca="false">IF(NOT(ISBLANK(creatives!C116)),VLOOKUP(creatives!C116,data!$A$2:$B$705,2,0),"")</f>
        <v/>
      </c>
      <c r="M115" s="17" t="n">
        <f aca="false">IF(NOT(ISNUMBER(MATCH(L115,data!B$2:B$705,0))),1,0)</f>
        <v>1</v>
      </c>
      <c r="N115" s="19" t="b">
        <f aca="false">IF(NOT(A115),TRUE(),AND(A115,SUM(B115,C115,D115,E115,F115,G115,K115,M115,I115)=0))</f>
        <v>1</v>
      </c>
      <c r="O115" s="20" t="n">
        <v>114</v>
      </c>
      <c r="P115" s="19" t="b">
        <f aca="false">IF(A115,COUNTIF(A$2:A115, CONCATENATE("=", TRUE()))=O115, TRUE())</f>
        <v>1</v>
      </c>
      <c r="Q115" s="1" t="n">
        <f aca="false">IF(A115,O115,0)</f>
        <v>0</v>
      </c>
    </row>
    <row r="116" customFormat="false" ht="15.65" hidden="false" customHeight="false" outlineLevel="0" collapsed="false">
      <c r="A116" s="17" t="b">
        <f aca="false">COUNTIF(creatives!B117:J117, "*")&gt;0</f>
        <v>0</v>
      </c>
      <c r="B116" s="17" t="n">
        <f aca="false">IF(OR(NOT(ISTEXT(creatives!B117)), ISBLANK(creatives!B117), LEN(TRIM(creatives!B117))&gt;200), 1, 0)</f>
        <v>1</v>
      </c>
      <c r="C116" s="17" t="n">
        <f aca="false">IF(NOT(ISNUMBER(MATCH(creatives!D117,data!C$2:C$6,0))),1,0)</f>
        <v>1</v>
      </c>
      <c r="D116" s="17" t="n">
        <f aca="false">IF(OR(LEFT(creatives!G117,7)="http://",LEFT(creatives!G117,8)="https://"), 0, 1)</f>
        <v>1</v>
      </c>
      <c r="E116" s="17" t="n">
        <f aca="false">IF(OR(LEFT(creatives!H117,7)="http://",LEFT(creatives!H117,8)="https://"), 0, 1)</f>
        <v>1</v>
      </c>
      <c r="F116" s="17" t="n">
        <f aca="false">IF(NOT(ISNUMBER(MATCH(creatives!I117,data!G$2:G$6,0))),1,0)</f>
        <v>1</v>
      </c>
      <c r="G116" s="17" t="n">
        <f aca="false">IF(ISBLANK(creatives!J117), 1, 0)</f>
        <v>1</v>
      </c>
      <c r="H116" s="17" t="str">
        <f aca="false">IF(NOT(ISBLANK(creatives!F117)),VLOOKUP(creatives!F117,data!I$2:J$29,2,0),"")</f>
        <v/>
      </c>
      <c r="I116" s="17" t="n">
        <f aca="false">IF(AND(NOT(ISBLANK(creatives!F117)),NOT(ISNUMBER(MATCH(H116,data!J$2:J$29,0)))),1,0)</f>
        <v>0</v>
      </c>
      <c r="J116" s="17" t="str">
        <f aca="false">IF(NOT(ISBLANK(creatives!E117)),VLOOKUP(creatives!E117,data!M$2:N$38,2,0),"")</f>
        <v/>
      </c>
      <c r="K116" s="17" t="n">
        <f aca="false">IF(NOT(ISNUMBER(MATCH(J116,data!N$2:N$38,0))),1,0)</f>
        <v>1</v>
      </c>
      <c r="L116" s="18" t="str">
        <f aca="false">IF(NOT(ISBLANK(creatives!C117)),VLOOKUP(creatives!C117,data!$A$2:$B$705,2,0),"")</f>
        <v/>
      </c>
      <c r="M116" s="17" t="n">
        <f aca="false">IF(NOT(ISNUMBER(MATCH(L116,data!B$2:B$705,0))),1,0)</f>
        <v>1</v>
      </c>
      <c r="N116" s="19" t="b">
        <f aca="false">IF(NOT(A116),TRUE(),AND(A116,SUM(B116,C116,D116,E116,F116,G116,K116,M116,I116)=0))</f>
        <v>1</v>
      </c>
      <c r="O116" s="20" t="n">
        <v>115</v>
      </c>
      <c r="P116" s="19" t="b">
        <f aca="false">IF(A116,COUNTIF(A$2:A116, CONCATENATE("=", TRUE()))=O116, TRUE())</f>
        <v>1</v>
      </c>
      <c r="Q116" s="1" t="n">
        <f aca="false">IF(A116,O116,0)</f>
        <v>0</v>
      </c>
    </row>
    <row r="117" customFormat="false" ht="15.65" hidden="false" customHeight="false" outlineLevel="0" collapsed="false">
      <c r="A117" s="17" t="b">
        <f aca="false">COUNTIF(creatives!B118:J118, "*")&gt;0</f>
        <v>0</v>
      </c>
      <c r="B117" s="17" t="n">
        <f aca="false">IF(OR(NOT(ISTEXT(creatives!B118)), ISBLANK(creatives!B118), LEN(TRIM(creatives!B118))&gt;200), 1, 0)</f>
        <v>1</v>
      </c>
      <c r="C117" s="17" t="n">
        <f aca="false">IF(NOT(ISNUMBER(MATCH(creatives!D118,data!C$2:C$6,0))),1,0)</f>
        <v>1</v>
      </c>
      <c r="D117" s="17" t="n">
        <f aca="false">IF(OR(LEFT(creatives!G118,7)="http://",LEFT(creatives!G118,8)="https://"), 0, 1)</f>
        <v>1</v>
      </c>
      <c r="E117" s="17" t="n">
        <f aca="false">IF(OR(LEFT(creatives!H118,7)="http://",LEFT(creatives!H118,8)="https://"), 0, 1)</f>
        <v>1</v>
      </c>
      <c r="F117" s="17" t="n">
        <f aca="false">IF(NOT(ISNUMBER(MATCH(creatives!I118,data!G$2:G$6,0))),1,0)</f>
        <v>1</v>
      </c>
      <c r="G117" s="17" t="n">
        <f aca="false">IF(ISBLANK(creatives!J118), 1, 0)</f>
        <v>1</v>
      </c>
      <c r="H117" s="17" t="str">
        <f aca="false">IF(NOT(ISBLANK(creatives!F118)),VLOOKUP(creatives!F118,data!I$2:J$29,2,0),"")</f>
        <v/>
      </c>
      <c r="I117" s="17" t="n">
        <f aca="false">IF(AND(NOT(ISBLANK(creatives!F118)),NOT(ISNUMBER(MATCH(H117,data!J$2:J$29,0)))),1,0)</f>
        <v>0</v>
      </c>
      <c r="J117" s="17" t="str">
        <f aca="false">IF(NOT(ISBLANK(creatives!E118)),VLOOKUP(creatives!E118,data!M$2:N$38,2,0),"")</f>
        <v/>
      </c>
      <c r="K117" s="17" t="n">
        <f aca="false">IF(NOT(ISNUMBER(MATCH(J117,data!N$2:N$38,0))),1,0)</f>
        <v>1</v>
      </c>
      <c r="L117" s="18" t="str">
        <f aca="false">IF(NOT(ISBLANK(creatives!C118)),VLOOKUP(creatives!C118,data!$A$2:$B$705,2,0),"")</f>
        <v/>
      </c>
      <c r="M117" s="17" t="n">
        <f aca="false">IF(NOT(ISNUMBER(MATCH(L117,data!B$2:B$705,0))),1,0)</f>
        <v>1</v>
      </c>
      <c r="N117" s="19" t="b">
        <f aca="false">IF(NOT(A117),TRUE(),AND(A117,SUM(B117,C117,D117,E117,F117,G117,K117,M117,I117)=0))</f>
        <v>1</v>
      </c>
      <c r="O117" s="20" t="n">
        <v>116</v>
      </c>
      <c r="P117" s="19" t="b">
        <f aca="false">IF(A117,COUNTIF(A$2:A117, CONCATENATE("=", TRUE()))=O117, TRUE())</f>
        <v>1</v>
      </c>
      <c r="Q117" s="1" t="n">
        <f aca="false">IF(A117,O117,0)</f>
        <v>0</v>
      </c>
    </row>
    <row r="118" customFormat="false" ht="15.65" hidden="false" customHeight="false" outlineLevel="0" collapsed="false">
      <c r="A118" s="17" t="b">
        <f aca="false">COUNTIF(creatives!B119:J119, "*")&gt;0</f>
        <v>0</v>
      </c>
      <c r="B118" s="17" t="n">
        <f aca="false">IF(OR(NOT(ISTEXT(creatives!B119)), ISBLANK(creatives!B119), LEN(TRIM(creatives!B119))&gt;200), 1, 0)</f>
        <v>1</v>
      </c>
      <c r="C118" s="17" t="n">
        <f aca="false">IF(NOT(ISNUMBER(MATCH(creatives!D119,data!C$2:C$6,0))),1,0)</f>
        <v>1</v>
      </c>
      <c r="D118" s="17" t="n">
        <f aca="false">IF(OR(LEFT(creatives!G119,7)="http://",LEFT(creatives!G119,8)="https://"), 0, 1)</f>
        <v>1</v>
      </c>
      <c r="E118" s="17" t="n">
        <f aca="false">IF(OR(LEFT(creatives!H119,7)="http://",LEFT(creatives!H119,8)="https://"), 0, 1)</f>
        <v>1</v>
      </c>
      <c r="F118" s="17" t="n">
        <f aca="false">IF(NOT(ISNUMBER(MATCH(creatives!I119,data!G$2:G$6,0))),1,0)</f>
        <v>1</v>
      </c>
      <c r="G118" s="17" t="n">
        <f aca="false">IF(ISBLANK(creatives!J119), 1, 0)</f>
        <v>1</v>
      </c>
      <c r="H118" s="17" t="str">
        <f aca="false">IF(NOT(ISBLANK(creatives!F119)),VLOOKUP(creatives!F119,data!I$2:J$29,2,0),"")</f>
        <v/>
      </c>
      <c r="I118" s="17" t="n">
        <f aca="false">IF(AND(NOT(ISBLANK(creatives!F119)),NOT(ISNUMBER(MATCH(H118,data!J$2:J$29,0)))),1,0)</f>
        <v>0</v>
      </c>
      <c r="J118" s="17" t="str">
        <f aca="false">IF(NOT(ISBLANK(creatives!E119)),VLOOKUP(creatives!E119,data!M$2:N$38,2,0),"")</f>
        <v/>
      </c>
      <c r="K118" s="17" t="n">
        <f aca="false">IF(NOT(ISNUMBER(MATCH(J118,data!N$2:N$38,0))),1,0)</f>
        <v>1</v>
      </c>
      <c r="L118" s="18" t="str">
        <f aca="false">IF(NOT(ISBLANK(creatives!C119)),VLOOKUP(creatives!C119,data!$A$2:$B$705,2,0),"")</f>
        <v/>
      </c>
      <c r="M118" s="17" t="n">
        <f aca="false">IF(NOT(ISNUMBER(MATCH(L118,data!B$2:B$705,0))),1,0)</f>
        <v>1</v>
      </c>
      <c r="N118" s="19" t="b">
        <f aca="false">IF(NOT(A118),TRUE(),AND(A118,SUM(B118,C118,D118,E118,F118,G118,K118,M118,I118)=0))</f>
        <v>1</v>
      </c>
      <c r="O118" s="20" t="n">
        <v>117</v>
      </c>
      <c r="P118" s="19" t="b">
        <f aca="false">IF(A118,COUNTIF(A$2:A118, CONCATENATE("=", TRUE()))=O118, TRUE())</f>
        <v>1</v>
      </c>
      <c r="Q118" s="1" t="n">
        <f aca="false">IF(A118,O118,0)</f>
        <v>0</v>
      </c>
    </row>
    <row r="119" customFormat="false" ht="15.65" hidden="false" customHeight="false" outlineLevel="0" collapsed="false">
      <c r="A119" s="17" t="b">
        <f aca="false">COUNTIF(creatives!B120:J120, "*")&gt;0</f>
        <v>0</v>
      </c>
      <c r="B119" s="17" t="n">
        <f aca="false">IF(OR(NOT(ISTEXT(creatives!B120)), ISBLANK(creatives!B120), LEN(TRIM(creatives!B120))&gt;200), 1, 0)</f>
        <v>1</v>
      </c>
      <c r="C119" s="17" t="n">
        <f aca="false">IF(NOT(ISNUMBER(MATCH(creatives!D120,data!C$2:C$6,0))),1,0)</f>
        <v>1</v>
      </c>
      <c r="D119" s="17" t="n">
        <f aca="false">IF(OR(LEFT(creatives!G120,7)="http://",LEFT(creatives!G120,8)="https://"), 0, 1)</f>
        <v>1</v>
      </c>
      <c r="E119" s="17" t="n">
        <f aca="false">IF(OR(LEFT(creatives!H120,7)="http://",LEFT(creatives!H120,8)="https://"), 0, 1)</f>
        <v>1</v>
      </c>
      <c r="F119" s="17" t="n">
        <f aca="false">IF(NOT(ISNUMBER(MATCH(creatives!I120,data!G$2:G$6,0))),1,0)</f>
        <v>1</v>
      </c>
      <c r="G119" s="17" t="n">
        <f aca="false">IF(ISBLANK(creatives!J120), 1, 0)</f>
        <v>1</v>
      </c>
      <c r="H119" s="17" t="str">
        <f aca="false">IF(NOT(ISBLANK(creatives!F120)),VLOOKUP(creatives!F120,data!I$2:J$29,2,0),"")</f>
        <v/>
      </c>
      <c r="I119" s="17" t="n">
        <f aca="false">IF(AND(NOT(ISBLANK(creatives!F120)),NOT(ISNUMBER(MATCH(H119,data!J$2:J$29,0)))),1,0)</f>
        <v>0</v>
      </c>
      <c r="J119" s="17" t="str">
        <f aca="false">IF(NOT(ISBLANK(creatives!E120)),VLOOKUP(creatives!E120,data!M$2:N$38,2,0),"")</f>
        <v/>
      </c>
      <c r="K119" s="17" t="n">
        <f aca="false">IF(NOT(ISNUMBER(MATCH(J119,data!N$2:N$38,0))),1,0)</f>
        <v>1</v>
      </c>
      <c r="L119" s="18" t="str">
        <f aca="false">IF(NOT(ISBLANK(creatives!C120)),VLOOKUP(creatives!C120,data!$A$2:$B$705,2,0),"")</f>
        <v/>
      </c>
      <c r="M119" s="17" t="n">
        <f aca="false">IF(NOT(ISNUMBER(MATCH(L119,data!B$2:B$705,0))),1,0)</f>
        <v>1</v>
      </c>
      <c r="N119" s="19" t="b">
        <f aca="false">IF(NOT(A119),TRUE(),AND(A119,SUM(B119,C119,D119,E119,F119,G119,K119,M119,I119)=0))</f>
        <v>1</v>
      </c>
      <c r="O119" s="20" t="n">
        <v>118</v>
      </c>
      <c r="P119" s="19" t="b">
        <f aca="false">IF(A119,COUNTIF(A$2:A119, CONCATENATE("=", TRUE()))=O119, TRUE())</f>
        <v>1</v>
      </c>
      <c r="Q119" s="1" t="n">
        <f aca="false">IF(A119,O119,0)</f>
        <v>0</v>
      </c>
    </row>
    <row r="120" customFormat="false" ht="15.65" hidden="false" customHeight="false" outlineLevel="0" collapsed="false">
      <c r="A120" s="17" t="b">
        <f aca="false">COUNTIF(creatives!B121:J121, "*")&gt;0</f>
        <v>0</v>
      </c>
      <c r="B120" s="17" t="n">
        <f aca="false">IF(OR(NOT(ISTEXT(creatives!B121)), ISBLANK(creatives!B121), LEN(TRIM(creatives!B121))&gt;200), 1, 0)</f>
        <v>1</v>
      </c>
      <c r="C120" s="17" t="n">
        <f aca="false">IF(NOT(ISNUMBER(MATCH(creatives!D121,data!C$2:C$6,0))),1,0)</f>
        <v>1</v>
      </c>
      <c r="D120" s="17" t="n">
        <f aca="false">IF(OR(LEFT(creatives!G121,7)="http://",LEFT(creatives!G121,8)="https://"), 0, 1)</f>
        <v>1</v>
      </c>
      <c r="E120" s="17" t="n">
        <f aca="false">IF(OR(LEFT(creatives!H121,7)="http://",LEFT(creatives!H121,8)="https://"), 0, 1)</f>
        <v>1</v>
      </c>
      <c r="F120" s="17" t="n">
        <f aca="false">IF(NOT(ISNUMBER(MATCH(creatives!I121,data!G$2:G$6,0))),1,0)</f>
        <v>1</v>
      </c>
      <c r="G120" s="17" t="n">
        <f aca="false">IF(ISBLANK(creatives!J121), 1, 0)</f>
        <v>1</v>
      </c>
      <c r="H120" s="17" t="str">
        <f aca="false">IF(NOT(ISBLANK(creatives!F121)),VLOOKUP(creatives!F121,data!I$2:J$29,2,0),"")</f>
        <v/>
      </c>
      <c r="I120" s="17" t="n">
        <f aca="false">IF(AND(NOT(ISBLANK(creatives!F121)),NOT(ISNUMBER(MATCH(H120,data!J$2:J$29,0)))),1,0)</f>
        <v>0</v>
      </c>
      <c r="J120" s="17" t="str">
        <f aca="false">IF(NOT(ISBLANK(creatives!E121)),VLOOKUP(creatives!E121,data!M$2:N$38,2,0),"")</f>
        <v/>
      </c>
      <c r="K120" s="17" t="n">
        <f aca="false">IF(NOT(ISNUMBER(MATCH(J120,data!N$2:N$38,0))),1,0)</f>
        <v>1</v>
      </c>
      <c r="L120" s="18" t="str">
        <f aca="false">IF(NOT(ISBLANK(creatives!C121)),VLOOKUP(creatives!C121,data!$A$2:$B$705,2,0),"")</f>
        <v/>
      </c>
      <c r="M120" s="17" t="n">
        <f aca="false">IF(NOT(ISNUMBER(MATCH(L120,data!B$2:B$705,0))),1,0)</f>
        <v>1</v>
      </c>
      <c r="N120" s="19" t="b">
        <f aca="false">IF(NOT(A120),TRUE(),AND(A120,SUM(B120,C120,D120,E120,F120,G120,K120,M120,I120)=0))</f>
        <v>1</v>
      </c>
      <c r="O120" s="20" t="n">
        <v>119</v>
      </c>
      <c r="P120" s="19" t="b">
        <f aca="false">IF(A120,COUNTIF(A$2:A120, CONCATENATE("=", TRUE()))=O120, TRUE())</f>
        <v>1</v>
      </c>
      <c r="Q120" s="1" t="n">
        <f aca="false">IF(A120,O120,0)</f>
        <v>0</v>
      </c>
    </row>
    <row r="121" customFormat="false" ht="15.65" hidden="false" customHeight="false" outlineLevel="0" collapsed="false">
      <c r="A121" s="17" t="b">
        <f aca="false">COUNTIF(creatives!B122:J122, "*")&gt;0</f>
        <v>0</v>
      </c>
      <c r="B121" s="17" t="n">
        <f aca="false">IF(OR(NOT(ISTEXT(creatives!B122)), ISBLANK(creatives!B122), LEN(TRIM(creatives!B122))&gt;200), 1, 0)</f>
        <v>1</v>
      </c>
      <c r="C121" s="17" t="n">
        <f aca="false">IF(NOT(ISNUMBER(MATCH(creatives!D122,data!C$2:C$6,0))),1,0)</f>
        <v>1</v>
      </c>
      <c r="D121" s="17" t="n">
        <f aca="false">IF(OR(LEFT(creatives!G122,7)="http://",LEFT(creatives!G122,8)="https://"), 0, 1)</f>
        <v>1</v>
      </c>
      <c r="E121" s="17" t="n">
        <f aca="false">IF(OR(LEFT(creatives!H122,7)="http://",LEFT(creatives!H122,8)="https://"), 0, 1)</f>
        <v>1</v>
      </c>
      <c r="F121" s="17" t="n">
        <f aca="false">IF(NOT(ISNUMBER(MATCH(creatives!I122,data!G$2:G$6,0))),1,0)</f>
        <v>1</v>
      </c>
      <c r="G121" s="17" t="n">
        <f aca="false">IF(ISBLANK(creatives!J122), 1, 0)</f>
        <v>1</v>
      </c>
      <c r="H121" s="17" t="str">
        <f aca="false">IF(NOT(ISBLANK(creatives!F122)),VLOOKUP(creatives!F122,data!I$2:J$29,2,0),"")</f>
        <v/>
      </c>
      <c r="I121" s="17" t="n">
        <f aca="false">IF(AND(NOT(ISBLANK(creatives!F122)),NOT(ISNUMBER(MATCH(H121,data!J$2:J$29,0)))),1,0)</f>
        <v>0</v>
      </c>
      <c r="J121" s="17" t="str">
        <f aca="false">IF(NOT(ISBLANK(creatives!E122)),VLOOKUP(creatives!E122,data!M$2:N$38,2,0),"")</f>
        <v/>
      </c>
      <c r="K121" s="17" t="n">
        <f aca="false">IF(NOT(ISNUMBER(MATCH(J121,data!N$2:N$38,0))),1,0)</f>
        <v>1</v>
      </c>
      <c r="L121" s="18" t="str">
        <f aca="false">IF(NOT(ISBLANK(creatives!C122)),VLOOKUP(creatives!C122,data!$A$2:$B$705,2,0),"")</f>
        <v/>
      </c>
      <c r="M121" s="17" t="n">
        <f aca="false">IF(NOT(ISNUMBER(MATCH(L121,data!B$2:B$705,0))),1,0)</f>
        <v>1</v>
      </c>
      <c r="N121" s="19" t="b">
        <f aca="false">IF(NOT(A121),TRUE(),AND(A121,SUM(B121,C121,D121,E121,F121,G121,K121,M121,I121)=0))</f>
        <v>1</v>
      </c>
      <c r="O121" s="20" t="n">
        <v>120</v>
      </c>
      <c r="P121" s="19" t="b">
        <f aca="false">IF(A121,COUNTIF(A$2:A121, CONCATENATE("=", TRUE()))=O121, TRUE())</f>
        <v>1</v>
      </c>
      <c r="Q121" s="1" t="n">
        <f aca="false">IF(A121,O121,0)</f>
        <v>0</v>
      </c>
    </row>
    <row r="122" customFormat="false" ht="15.65" hidden="false" customHeight="false" outlineLevel="0" collapsed="false">
      <c r="A122" s="17" t="b">
        <f aca="false">COUNTIF(creatives!B123:J123, "*")&gt;0</f>
        <v>0</v>
      </c>
      <c r="B122" s="17" t="n">
        <f aca="false">IF(OR(NOT(ISTEXT(creatives!B123)), ISBLANK(creatives!B123), LEN(TRIM(creatives!B123))&gt;200), 1, 0)</f>
        <v>1</v>
      </c>
      <c r="C122" s="17" t="n">
        <f aca="false">IF(NOT(ISNUMBER(MATCH(creatives!D123,data!C$2:C$6,0))),1,0)</f>
        <v>1</v>
      </c>
      <c r="D122" s="17" t="n">
        <f aca="false">IF(OR(LEFT(creatives!G123,7)="http://",LEFT(creatives!G123,8)="https://"), 0, 1)</f>
        <v>1</v>
      </c>
      <c r="E122" s="17" t="n">
        <f aca="false">IF(OR(LEFT(creatives!H123,7)="http://",LEFT(creatives!H123,8)="https://"), 0, 1)</f>
        <v>1</v>
      </c>
      <c r="F122" s="17" t="n">
        <f aca="false">IF(NOT(ISNUMBER(MATCH(creatives!I123,data!G$2:G$6,0))),1,0)</f>
        <v>1</v>
      </c>
      <c r="G122" s="17" t="n">
        <f aca="false">IF(ISBLANK(creatives!J123), 1, 0)</f>
        <v>1</v>
      </c>
      <c r="H122" s="17" t="str">
        <f aca="false">IF(NOT(ISBLANK(creatives!F123)),VLOOKUP(creatives!F123,data!I$2:J$29,2,0),"")</f>
        <v/>
      </c>
      <c r="I122" s="17" t="n">
        <f aca="false">IF(AND(NOT(ISBLANK(creatives!F123)),NOT(ISNUMBER(MATCH(H122,data!J$2:J$29,0)))),1,0)</f>
        <v>0</v>
      </c>
      <c r="J122" s="17" t="str">
        <f aca="false">IF(NOT(ISBLANK(creatives!E123)),VLOOKUP(creatives!E123,data!M$2:N$38,2,0),"")</f>
        <v/>
      </c>
      <c r="K122" s="17" t="n">
        <f aca="false">IF(NOT(ISNUMBER(MATCH(J122,data!N$2:N$38,0))),1,0)</f>
        <v>1</v>
      </c>
      <c r="L122" s="18" t="str">
        <f aca="false">IF(NOT(ISBLANK(creatives!C123)),VLOOKUP(creatives!C123,data!$A$2:$B$705,2,0),"")</f>
        <v/>
      </c>
      <c r="M122" s="17" t="n">
        <f aca="false">IF(NOT(ISNUMBER(MATCH(L122,data!B$2:B$705,0))),1,0)</f>
        <v>1</v>
      </c>
      <c r="N122" s="19" t="b">
        <f aca="false">IF(NOT(A122),TRUE(),AND(A122,SUM(B122,C122,D122,E122,F122,G122,K122,M122,I122)=0))</f>
        <v>1</v>
      </c>
      <c r="O122" s="20" t="n">
        <v>121</v>
      </c>
      <c r="P122" s="19" t="b">
        <f aca="false">IF(A122,COUNTIF(A$2:A122, CONCATENATE("=", TRUE()))=O122, TRUE())</f>
        <v>1</v>
      </c>
      <c r="Q122" s="1" t="n">
        <f aca="false">IF(A122,O122,0)</f>
        <v>0</v>
      </c>
    </row>
    <row r="123" customFormat="false" ht="15.65" hidden="false" customHeight="false" outlineLevel="0" collapsed="false">
      <c r="A123" s="17" t="b">
        <f aca="false">COUNTIF(creatives!B124:J124, "*")&gt;0</f>
        <v>0</v>
      </c>
      <c r="B123" s="17" t="n">
        <f aca="false">IF(OR(NOT(ISTEXT(creatives!B124)), ISBLANK(creatives!B124), LEN(TRIM(creatives!B124))&gt;200), 1, 0)</f>
        <v>1</v>
      </c>
      <c r="C123" s="17" t="n">
        <f aca="false">IF(NOT(ISNUMBER(MATCH(creatives!D124,data!C$2:C$6,0))),1,0)</f>
        <v>1</v>
      </c>
      <c r="D123" s="17" t="n">
        <f aca="false">IF(OR(LEFT(creatives!G124,7)="http://",LEFT(creatives!G124,8)="https://"), 0, 1)</f>
        <v>1</v>
      </c>
      <c r="E123" s="17" t="n">
        <f aca="false">IF(OR(LEFT(creatives!H124,7)="http://",LEFT(creatives!H124,8)="https://"), 0, 1)</f>
        <v>1</v>
      </c>
      <c r="F123" s="17" t="n">
        <f aca="false">IF(NOT(ISNUMBER(MATCH(creatives!I124,data!G$2:G$6,0))),1,0)</f>
        <v>1</v>
      </c>
      <c r="G123" s="17" t="n">
        <f aca="false">IF(ISBLANK(creatives!J124), 1, 0)</f>
        <v>1</v>
      </c>
      <c r="H123" s="17" t="str">
        <f aca="false">IF(NOT(ISBLANK(creatives!F124)),VLOOKUP(creatives!F124,data!I$2:J$29,2,0),"")</f>
        <v/>
      </c>
      <c r="I123" s="17" t="n">
        <f aca="false">IF(AND(NOT(ISBLANK(creatives!F124)),NOT(ISNUMBER(MATCH(H123,data!J$2:J$29,0)))),1,0)</f>
        <v>0</v>
      </c>
      <c r="J123" s="17" t="str">
        <f aca="false">IF(NOT(ISBLANK(creatives!E124)),VLOOKUP(creatives!E124,data!M$2:N$38,2,0),"")</f>
        <v/>
      </c>
      <c r="K123" s="17" t="n">
        <f aca="false">IF(NOT(ISNUMBER(MATCH(J123,data!N$2:N$38,0))),1,0)</f>
        <v>1</v>
      </c>
      <c r="L123" s="18" t="str">
        <f aca="false">IF(NOT(ISBLANK(creatives!C124)),VLOOKUP(creatives!C124,data!$A$2:$B$705,2,0),"")</f>
        <v/>
      </c>
      <c r="M123" s="17" t="n">
        <f aca="false">IF(NOT(ISNUMBER(MATCH(L123,data!B$2:B$705,0))),1,0)</f>
        <v>1</v>
      </c>
      <c r="N123" s="19" t="b">
        <f aca="false">IF(NOT(A123),TRUE(),AND(A123,SUM(B123,C123,D123,E123,F123,G123,K123,M123,I123)=0))</f>
        <v>1</v>
      </c>
      <c r="O123" s="20" t="n">
        <v>122</v>
      </c>
      <c r="P123" s="19" t="b">
        <f aca="false">IF(A123,COUNTIF(A$2:A123, CONCATENATE("=", TRUE()))=O123, TRUE())</f>
        <v>1</v>
      </c>
      <c r="Q123" s="1" t="n">
        <f aca="false">IF(A123,O123,0)</f>
        <v>0</v>
      </c>
    </row>
    <row r="124" customFormat="false" ht="15.65" hidden="false" customHeight="false" outlineLevel="0" collapsed="false">
      <c r="A124" s="17" t="b">
        <f aca="false">COUNTIF(creatives!B125:J125, "*")&gt;0</f>
        <v>0</v>
      </c>
      <c r="B124" s="17" t="n">
        <f aca="false">IF(OR(NOT(ISTEXT(creatives!B125)), ISBLANK(creatives!B125), LEN(TRIM(creatives!B125))&gt;200), 1, 0)</f>
        <v>1</v>
      </c>
      <c r="C124" s="17" t="n">
        <f aca="false">IF(NOT(ISNUMBER(MATCH(creatives!D125,data!C$2:C$6,0))),1,0)</f>
        <v>1</v>
      </c>
      <c r="D124" s="17" t="n">
        <f aca="false">IF(OR(LEFT(creatives!G125,7)="http://",LEFT(creatives!G125,8)="https://"), 0, 1)</f>
        <v>1</v>
      </c>
      <c r="E124" s="17" t="n">
        <f aca="false">IF(OR(LEFT(creatives!H125,7)="http://",LEFT(creatives!H125,8)="https://"), 0, 1)</f>
        <v>1</v>
      </c>
      <c r="F124" s="17" t="n">
        <f aca="false">IF(NOT(ISNUMBER(MATCH(creatives!I125,data!G$2:G$6,0))),1,0)</f>
        <v>1</v>
      </c>
      <c r="G124" s="17" t="n">
        <f aca="false">IF(ISBLANK(creatives!J125), 1, 0)</f>
        <v>1</v>
      </c>
      <c r="H124" s="17" t="str">
        <f aca="false">IF(NOT(ISBLANK(creatives!F125)),VLOOKUP(creatives!F125,data!I$2:J$29,2,0),"")</f>
        <v/>
      </c>
      <c r="I124" s="17" t="n">
        <f aca="false">IF(AND(NOT(ISBLANK(creatives!F125)),NOT(ISNUMBER(MATCH(H124,data!J$2:J$29,0)))),1,0)</f>
        <v>0</v>
      </c>
      <c r="J124" s="17" t="str">
        <f aca="false">IF(NOT(ISBLANK(creatives!E125)),VLOOKUP(creatives!E125,data!M$2:N$38,2,0),"")</f>
        <v/>
      </c>
      <c r="K124" s="17" t="n">
        <f aca="false">IF(NOT(ISNUMBER(MATCH(J124,data!N$2:N$38,0))),1,0)</f>
        <v>1</v>
      </c>
      <c r="L124" s="18" t="str">
        <f aca="false">IF(NOT(ISBLANK(creatives!C125)),VLOOKUP(creatives!C125,data!$A$2:$B$705,2,0),"")</f>
        <v/>
      </c>
      <c r="M124" s="17" t="n">
        <f aca="false">IF(NOT(ISNUMBER(MATCH(L124,data!B$2:B$705,0))),1,0)</f>
        <v>1</v>
      </c>
      <c r="N124" s="19" t="b">
        <f aca="false">IF(NOT(A124),TRUE(),AND(A124,SUM(B124,C124,D124,E124,F124,G124,K124,M124,I124)=0))</f>
        <v>1</v>
      </c>
      <c r="O124" s="20" t="n">
        <v>123</v>
      </c>
      <c r="P124" s="19" t="b">
        <f aca="false">IF(A124,COUNTIF(A$2:A124, CONCATENATE("=", TRUE()))=O124, TRUE())</f>
        <v>1</v>
      </c>
      <c r="Q124" s="1" t="n">
        <f aca="false">IF(A124,O124,0)</f>
        <v>0</v>
      </c>
    </row>
    <row r="125" customFormat="false" ht="15.65" hidden="false" customHeight="false" outlineLevel="0" collapsed="false">
      <c r="A125" s="17" t="b">
        <f aca="false">COUNTIF(creatives!B126:J126, "*")&gt;0</f>
        <v>0</v>
      </c>
      <c r="B125" s="17" t="n">
        <f aca="false">IF(OR(NOT(ISTEXT(creatives!B126)), ISBLANK(creatives!B126), LEN(TRIM(creatives!B126))&gt;200), 1, 0)</f>
        <v>1</v>
      </c>
      <c r="C125" s="17" t="n">
        <f aca="false">IF(NOT(ISNUMBER(MATCH(creatives!D126,data!C$2:C$6,0))),1,0)</f>
        <v>1</v>
      </c>
      <c r="D125" s="17" t="n">
        <f aca="false">IF(OR(LEFT(creatives!G126,7)="http://",LEFT(creatives!G126,8)="https://"), 0, 1)</f>
        <v>1</v>
      </c>
      <c r="E125" s="17" t="n">
        <f aca="false">IF(OR(LEFT(creatives!H126,7)="http://",LEFT(creatives!H126,8)="https://"), 0, 1)</f>
        <v>1</v>
      </c>
      <c r="F125" s="17" t="n">
        <f aca="false">IF(NOT(ISNUMBER(MATCH(creatives!I126,data!G$2:G$6,0))),1,0)</f>
        <v>1</v>
      </c>
      <c r="G125" s="17" t="n">
        <f aca="false">IF(ISBLANK(creatives!J126), 1, 0)</f>
        <v>1</v>
      </c>
      <c r="H125" s="17" t="str">
        <f aca="false">IF(NOT(ISBLANK(creatives!F126)),VLOOKUP(creatives!F126,data!I$2:J$29,2,0),"")</f>
        <v/>
      </c>
      <c r="I125" s="17" t="n">
        <f aca="false">IF(AND(NOT(ISBLANK(creatives!F126)),NOT(ISNUMBER(MATCH(H125,data!J$2:J$29,0)))),1,0)</f>
        <v>0</v>
      </c>
      <c r="J125" s="17" t="str">
        <f aca="false">IF(NOT(ISBLANK(creatives!E126)),VLOOKUP(creatives!E126,data!M$2:N$38,2,0),"")</f>
        <v/>
      </c>
      <c r="K125" s="17" t="n">
        <f aca="false">IF(NOT(ISNUMBER(MATCH(J125,data!N$2:N$38,0))),1,0)</f>
        <v>1</v>
      </c>
      <c r="L125" s="18" t="str">
        <f aca="false">IF(NOT(ISBLANK(creatives!C126)),VLOOKUP(creatives!C126,data!$A$2:$B$705,2,0),"")</f>
        <v/>
      </c>
      <c r="M125" s="17" t="n">
        <f aca="false">IF(NOT(ISNUMBER(MATCH(L125,data!B$2:B$705,0))),1,0)</f>
        <v>1</v>
      </c>
      <c r="N125" s="19" t="b">
        <f aca="false">IF(NOT(A125),TRUE(),AND(A125,SUM(B125,C125,D125,E125,F125,G125,K125,M125,I125)=0))</f>
        <v>1</v>
      </c>
      <c r="O125" s="20" t="n">
        <v>124</v>
      </c>
      <c r="P125" s="19" t="b">
        <f aca="false">IF(A125,COUNTIF(A$2:A125, CONCATENATE("=", TRUE()))=O125, TRUE())</f>
        <v>1</v>
      </c>
      <c r="Q125" s="1" t="n">
        <f aca="false">IF(A125,O125,0)</f>
        <v>0</v>
      </c>
    </row>
    <row r="126" customFormat="false" ht="15.65" hidden="false" customHeight="false" outlineLevel="0" collapsed="false">
      <c r="A126" s="17" t="b">
        <f aca="false">COUNTIF(creatives!B127:J127, "*")&gt;0</f>
        <v>0</v>
      </c>
      <c r="B126" s="17" t="n">
        <f aca="false">IF(OR(NOT(ISTEXT(creatives!B127)), ISBLANK(creatives!B127), LEN(TRIM(creatives!B127))&gt;200), 1, 0)</f>
        <v>1</v>
      </c>
      <c r="C126" s="17" t="n">
        <f aca="false">IF(NOT(ISNUMBER(MATCH(creatives!D127,data!C$2:C$6,0))),1,0)</f>
        <v>1</v>
      </c>
      <c r="D126" s="17" t="n">
        <f aca="false">IF(OR(LEFT(creatives!G127,7)="http://",LEFT(creatives!G127,8)="https://"), 0, 1)</f>
        <v>1</v>
      </c>
      <c r="E126" s="17" t="n">
        <f aca="false">IF(OR(LEFT(creatives!H127,7)="http://",LEFT(creatives!H127,8)="https://"), 0, 1)</f>
        <v>1</v>
      </c>
      <c r="F126" s="17" t="n">
        <f aca="false">IF(NOT(ISNUMBER(MATCH(creatives!I127,data!G$2:G$6,0))),1,0)</f>
        <v>1</v>
      </c>
      <c r="G126" s="17" t="n">
        <f aca="false">IF(ISBLANK(creatives!J127), 1, 0)</f>
        <v>1</v>
      </c>
      <c r="H126" s="17" t="str">
        <f aca="false">IF(NOT(ISBLANK(creatives!F127)),VLOOKUP(creatives!F127,data!I$2:J$29,2,0),"")</f>
        <v/>
      </c>
      <c r="I126" s="17" t="n">
        <f aca="false">IF(AND(NOT(ISBLANK(creatives!F127)),NOT(ISNUMBER(MATCH(H126,data!J$2:J$29,0)))),1,0)</f>
        <v>0</v>
      </c>
      <c r="J126" s="17" t="str">
        <f aca="false">IF(NOT(ISBLANK(creatives!E127)),VLOOKUP(creatives!E127,data!M$2:N$38,2,0),"")</f>
        <v/>
      </c>
      <c r="K126" s="17" t="n">
        <f aca="false">IF(NOT(ISNUMBER(MATCH(J126,data!N$2:N$38,0))),1,0)</f>
        <v>1</v>
      </c>
      <c r="L126" s="18" t="str">
        <f aca="false">IF(NOT(ISBLANK(creatives!C127)),VLOOKUP(creatives!C127,data!$A$2:$B$705,2,0),"")</f>
        <v/>
      </c>
      <c r="M126" s="17" t="n">
        <f aca="false">IF(NOT(ISNUMBER(MATCH(L126,data!B$2:B$705,0))),1,0)</f>
        <v>1</v>
      </c>
      <c r="N126" s="19" t="b">
        <f aca="false">IF(NOT(A126),TRUE(),AND(A126,SUM(B126,C126,D126,E126,F126,G126,K126,M126,I126)=0))</f>
        <v>1</v>
      </c>
      <c r="O126" s="20" t="n">
        <v>125</v>
      </c>
      <c r="P126" s="19" t="b">
        <f aca="false">IF(A126,COUNTIF(A$2:A126, CONCATENATE("=", TRUE()))=O126, TRUE())</f>
        <v>1</v>
      </c>
      <c r="Q126" s="1" t="n">
        <f aca="false">IF(A126,O126,0)</f>
        <v>0</v>
      </c>
    </row>
    <row r="127" customFormat="false" ht="15.65" hidden="false" customHeight="false" outlineLevel="0" collapsed="false">
      <c r="A127" s="17" t="b">
        <f aca="false">COUNTIF(creatives!B128:J128, "*")&gt;0</f>
        <v>0</v>
      </c>
      <c r="B127" s="17" t="n">
        <f aca="false">IF(OR(NOT(ISTEXT(creatives!B128)), ISBLANK(creatives!B128), LEN(TRIM(creatives!B128))&gt;200), 1, 0)</f>
        <v>1</v>
      </c>
      <c r="C127" s="17" t="n">
        <f aca="false">IF(NOT(ISNUMBER(MATCH(creatives!D128,data!C$2:C$6,0))),1,0)</f>
        <v>1</v>
      </c>
      <c r="D127" s="17" t="n">
        <f aca="false">IF(OR(LEFT(creatives!G128,7)="http://",LEFT(creatives!G128,8)="https://"), 0, 1)</f>
        <v>1</v>
      </c>
      <c r="E127" s="17" t="n">
        <f aca="false">IF(OR(LEFT(creatives!H128,7)="http://",LEFT(creatives!H128,8)="https://"), 0, 1)</f>
        <v>1</v>
      </c>
      <c r="F127" s="17" t="n">
        <f aca="false">IF(NOT(ISNUMBER(MATCH(creatives!I128,data!G$2:G$6,0))),1,0)</f>
        <v>1</v>
      </c>
      <c r="G127" s="17" t="n">
        <f aca="false">IF(ISBLANK(creatives!J128), 1, 0)</f>
        <v>1</v>
      </c>
      <c r="H127" s="17" t="str">
        <f aca="false">IF(NOT(ISBLANK(creatives!F128)),VLOOKUP(creatives!F128,data!I$2:J$29,2,0),"")</f>
        <v/>
      </c>
      <c r="I127" s="17" t="n">
        <f aca="false">IF(AND(NOT(ISBLANK(creatives!F128)),NOT(ISNUMBER(MATCH(H127,data!J$2:J$29,0)))),1,0)</f>
        <v>0</v>
      </c>
      <c r="J127" s="17" t="str">
        <f aca="false">IF(NOT(ISBLANK(creatives!E128)),VLOOKUP(creatives!E128,data!M$2:N$38,2,0),"")</f>
        <v/>
      </c>
      <c r="K127" s="17" t="n">
        <f aca="false">IF(NOT(ISNUMBER(MATCH(J127,data!N$2:N$38,0))),1,0)</f>
        <v>1</v>
      </c>
      <c r="L127" s="18" t="str">
        <f aca="false">IF(NOT(ISBLANK(creatives!C128)),VLOOKUP(creatives!C128,data!$A$2:$B$705,2,0),"")</f>
        <v/>
      </c>
      <c r="M127" s="17" t="n">
        <f aca="false">IF(NOT(ISNUMBER(MATCH(L127,data!B$2:B$705,0))),1,0)</f>
        <v>1</v>
      </c>
      <c r="N127" s="19" t="b">
        <f aca="false">IF(NOT(A127),TRUE(),AND(A127,SUM(B127,C127,D127,E127,F127,G127,K127,M127,I127)=0))</f>
        <v>1</v>
      </c>
      <c r="O127" s="20" t="n">
        <v>126</v>
      </c>
      <c r="P127" s="19" t="b">
        <f aca="false">IF(A127,COUNTIF(A$2:A127, CONCATENATE("=", TRUE()))=O127, TRUE())</f>
        <v>1</v>
      </c>
      <c r="Q127" s="1" t="n">
        <f aca="false">IF(A127,O127,0)</f>
        <v>0</v>
      </c>
    </row>
    <row r="128" customFormat="false" ht="15.65" hidden="false" customHeight="false" outlineLevel="0" collapsed="false">
      <c r="A128" s="17" t="b">
        <f aca="false">COUNTIF(creatives!B129:J129, "*")&gt;0</f>
        <v>0</v>
      </c>
      <c r="B128" s="17" t="n">
        <f aca="false">IF(OR(NOT(ISTEXT(creatives!B129)), ISBLANK(creatives!B129), LEN(TRIM(creatives!B129))&gt;200), 1, 0)</f>
        <v>1</v>
      </c>
      <c r="C128" s="17" t="n">
        <f aca="false">IF(NOT(ISNUMBER(MATCH(creatives!D129,data!C$2:C$6,0))),1,0)</f>
        <v>1</v>
      </c>
      <c r="D128" s="17" t="n">
        <f aca="false">IF(OR(LEFT(creatives!G129,7)="http://",LEFT(creatives!G129,8)="https://"), 0, 1)</f>
        <v>1</v>
      </c>
      <c r="E128" s="17" t="n">
        <f aca="false">IF(OR(LEFT(creatives!H129,7)="http://",LEFT(creatives!H129,8)="https://"), 0, 1)</f>
        <v>1</v>
      </c>
      <c r="F128" s="17" t="n">
        <f aca="false">IF(NOT(ISNUMBER(MATCH(creatives!I129,data!G$2:G$6,0))),1,0)</f>
        <v>1</v>
      </c>
      <c r="G128" s="17" t="n">
        <f aca="false">IF(ISBLANK(creatives!J129), 1, 0)</f>
        <v>1</v>
      </c>
      <c r="H128" s="17" t="str">
        <f aca="false">IF(NOT(ISBLANK(creatives!F129)),VLOOKUP(creatives!F129,data!I$2:J$29,2,0),"")</f>
        <v/>
      </c>
      <c r="I128" s="17" t="n">
        <f aca="false">IF(AND(NOT(ISBLANK(creatives!F129)),NOT(ISNUMBER(MATCH(H128,data!J$2:J$29,0)))),1,0)</f>
        <v>0</v>
      </c>
      <c r="J128" s="17" t="str">
        <f aca="false">IF(NOT(ISBLANK(creatives!E129)),VLOOKUP(creatives!E129,data!M$2:N$38,2,0),"")</f>
        <v/>
      </c>
      <c r="K128" s="17" t="n">
        <f aca="false">IF(NOT(ISNUMBER(MATCH(J128,data!N$2:N$38,0))),1,0)</f>
        <v>1</v>
      </c>
      <c r="L128" s="18" t="str">
        <f aca="false">IF(NOT(ISBLANK(creatives!C129)),VLOOKUP(creatives!C129,data!$A$2:$B$705,2,0),"")</f>
        <v/>
      </c>
      <c r="M128" s="17" t="n">
        <f aca="false">IF(NOT(ISNUMBER(MATCH(L128,data!B$2:B$705,0))),1,0)</f>
        <v>1</v>
      </c>
      <c r="N128" s="19" t="b">
        <f aca="false">IF(NOT(A128),TRUE(),AND(A128,SUM(B128,C128,D128,E128,F128,G128,K128,M128,I128)=0))</f>
        <v>1</v>
      </c>
      <c r="O128" s="20" t="n">
        <v>127</v>
      </c>
      <c r="P128" s="19" t="b">
        <f aca="false">IF(A128,COUNTIF(A$2:A128, CONCATENATE("=", TRUE()))=O128, TRUE())</f>
        <v>1</v>
      </c>
      <c r="Q128" s="1" t="n">
        <f aca="false">IF(A128,O128,0)</f>
        <v>0</v>
      </c>
    </row>
    <row r="129" customFormat="false" ht="15.65" hidden="false" customHeight="false" outlineLevel="0" collapsed="false">
      <c r="A129" s="17" t="b">
        <f aca="false">COUNTIF(creatives!B130:J130, "*")&gt;0</f>
        <v>0</v>
      </c>
      <c r="B129" s="17" t="n">
        <f aca="false">IF(OR(NOT(ISTEXT(creatives!B130)), ISBLANK(creatives!B130), LEN(TRIM(creatives!B130))&gt;200), 1, 0)</f>
        <v>1</v>
      </c>
      <c r="C129" s="17" t="n">
        <f aca="false">IF(NOT(ISNUMBER(MATCH(creatives!D130,data!C$2:C$6,0))),1,0)</f>
        <v>1</v>
      </c>
      <c r="D129" s="17" t="n">
        <f aca="false">IF(OR(LEFT(creatives!G130,7)="http://",LEFT(creatives!G130,8)="https://"), 0, 1)</f>
        <v>1</v>
      </c>
      <c r="E129" s="17" t="n">
        <f aca="false">IF(OR(LEFT(creatives!H130,7)="http://",LEFT(creatives!H130,8)="https://"), 0, 1)</f>
        <v>1</v>
      </c>
      <c r="F129" s="17" t="n">
        <f aca="false">IF(NOT(ISNUMBER(MATCH(creatives!I130,data!G$2:G$6,0))),1,0)</f>
        <v>1</v>
      </c>
      <c r="G129" s="17" t="n">
        <f aca="false">IF(ISBLANK(creatives!J130), 1, 0)</f>
        <v>1</v>
      </c>
      <c r="H129" s="17" t="str">
        <f aca="false">IF(NOT(ISBLANK(creatives!F130)),VLOOKUP(creatives!F130,data!I$2:J$29,2,0),"")</f>
        <v/>
      </c>
      <c r="I129" s="17" t="n">
        <f aca="false">IF(AND(NOT(ISBLANK(creatives!F130)),NOT(ISNUMBER(MATCH(H129,data!J$2:J$29,0)))),1,0)</f>
        <v>0</v>
      </c>
      <c r="J129" s="17" t="str">
        <f aca="false">IF(NOT(ISBLANK(creatives!E130)),VLOOKUP(creatives!E130,data!M$2:N$38,2,0),"")</f>
        <v/>
      </c>
      <c r="K129" s="17" t="n">
        <f aca="false">IF(NOT(ISNUMBER(MATCH(J129,data!N$2:N$38,0))),1,0)</f>
        <v>1</v>
      </c>
      <c r="L129" s="18" t="str">
        <f aca="false">IF(NOT(ISBLANK(creatives!C130)),VLOOKUP(creatives!C130,data!$A$2:$B$705,2,0),"")</f>
        <v/>
      </c>
      <c r="M129" s="17" t="n">
        <f aca="false">IF(NOT(ISNUMBER(MATCH(L129,data!B$2:B$705,0))),1,0)</f>
        <v>1</v>
      </c>
      <c r="N129" s="19" t="b">
        <f aca="false">IF(NOT(A129),TRUE(),AND(A129,SUM(B129,C129,D129,E129,F129,G129,K129,M129,I129)=0))</f>
        <v>1</v>
      </c>
      <c r="O129" s="20" t="n">
        <v>128</v>
      </c>
      <c r="P129" s="19" t="b">
        <f aca="false">IF(A129,COUNTIF(A$2:A129, CONCATENATE("=", TRUE()))=O129, TRUE())</f>
        <v>1</v>
      </c>
      <c r="Q129" s="1" t="n">
        <f aca="false">IF(A129,O129,0)</f>
        <v>0</v>
      </c>
    </row>
    <row r="130" customFormat="false" ht="15.65" hidden="false" customHeight="false" outlineLevel="0" collapsed="false">
      <c r="A130" s="17" t="b">
        <f aca="false">COUNTIF(creatives!B131:J131, "*")&gt;0</f>
        <v>0</v>
      </c>
      <c r="B130" s="17" t="n">
        <f aca="false">IF(OR(NOT(ISTEXT(creatives!B131)), ISBLANK(creatives!B131), LEN(TRIM(creatives!B131))&gt;200), 1, 0)</f>
        <v>1</v>
      </c>
      <c r="C130" s="17" t="n">
        <f aca="false">IF(NOT(ISNUMBER(MATCH(creatives!D131,data!C$2:C$6,0))),1,0)</f>
        <v>1</v>
      </c>
      <c r="D130" s="17" t="n">
        <f aca="false">IF(OR(LEFT(creatives!G131,7)="http://",LEFT(creatives!G131,8)="https://"), 0, 1)</f>
        <v>1</v>
      </c>
      <c r="E130" s="17" t="n">
        <f aca="false">IF(OR(LEFT(creatives!H131,7)="http://",LEFT(creatives!H131,8)="https://"), 0, 1)</f>
        <v>1</v>
      </c>
      <c r="F130" s="17" t="n">
        <f aca="false">IF(NOT(ISNUMBER(MATCH(creatives!I131,data!G$2:G$6,0))),1,0)</f>
        <v>1</v>
      </c>
      <c r="G130" s="17" t="n">
        <f aca="false">IF(ISBLANK(creatives!J131), 1, 0)</f>
        <v>1</v>
      </c>
      <c r="H130" s="17" t="str">
        <f aca="false">IF(NOT(ISBLANK(creatives!F131)),VLOOKUP(creatives!F131,data!I$2:J$29,2,0),"")</f>
        <v/>
      </c>
      <c r="I130" s="17" t="n">
        <f aca="false">IF(AND(NOT(ISBLANK(creatives!F131)),NOT(ISNUMBER(MATCH(H130,data!J$2:J$29,0)))),1,0)</f>
        <v>0</v>
      </c>
      <c r="J130" s="17" t="str">
        <f aca="false">IF(NOT(ISBLANK(creatives!E131)),VLOOKUP(creatives!E131,data!M$2:N$38,2,0),"")</f>
        <v/>
      </c>
      <c r="K130" s="17" t="n">
        <f aca="false">IF(NOT(ISNUMBER(MATCH(J130,data!N$2:N$38,0))),1,0)</f>
        <v>1</v>
      </c>
      <c r="L130" s="18" t="str">
        <f aca="false">IF(NOT(ISBLANK(creatives!C131)),VLOOKUP(creatives!C131,data!$A$2:$B$705,2,0),"")</f>
        <v/>
      </c>
      <c r="M130" s="17" t="n">
        <f aca="false">IF(NOT(ISNUMBER(MATCH(L130,data!B$2:B$705,0))),1,0)</f>
        <v>1</v>
      </c>
      <c r="N130" s="19" t="b">
        <f aca="false">IF(NOT(A130),TRUE(),AND(A130,SUM(B130,C130,D130,E130,F130,G130,K130,M130,I130)=0))</f>
        <v>1</v>
      </c>
      <c r="O130" s="20" t="n">
        <v>129</v>
      </c>
      <c r="P130" s="19" t="b">
        <f aca="false">IF(A130,COUNTIF(A$2:A130, CONCATENATE("=", TRUE()))=O130, TRUE())</f>
        <v>1</v>
      </c>
      <c r="Q130" s="1" t="n">
        <f aca="false">IF(A130,O130,0)</f>
        <v>0</v>
      </c>
    </row>
    <row r="131" customFormat="false" ht="15.65" hidden="false" customHeight="false" outlineLevel="0" collapsed="false">
      <c r="A131" s="17" t="b">
        <f aca="false">COUNTIF(creatives!B132:J132, "*")&gt;0</f>
        <v>0</v>
      </c>
      <c r="B131" s="17" t="n">
        <f aca="false">IF(OR(NOT(ISTEXT(creatives!B132)), ISBLANK(creatives!B132), LEN(TRIM(creatives!B132))&gt;200), 1, 0)</f>
        <v>1</v>
      </c>
      <c r="C131" s="17" t="n">
        <f aca="false">IF(NOT(ISNUMBER(MATCH(creatives!D132,data!C$2:C$6,0))),1,0)</f>
        <v>1</v>
      </c>
      <c r="D131" s="17" t="n">
        <f aca="false">IF(OR(LEFT(creatives!G132,7)="http://",LEFT(creatives!G132,8)="https://"), 0, 1)</f>
        <v>1</v>
      </c>
      <c r="E131" s="17" t="n">
        <f aca="false">IF(OR(LEFT(creatives!H132,7)="http://",LEFT(creatives!H132,8)="https://"), 0, 1)</f>
        <v>1</v>
      </c>
      <c r="F131" s="17" t="n">
        <f aca="false">IF(NOT(ISNUMBER(MATCH(creatives!I132,data!G$2:G$6,0))),1,0)</f>
        <v>1</v>
      </c>
      <c r="G131" s="17" t="n">
        <f aca="false">IF(ISBLANK(creatives!J132), 1, 0)</f>
        <v>1</v>
      </c>
      <c r="H131" s="17" t="str">
        <f aca="false">IF(NOT(ISBLANK(creatives!F132)),VLOOKUP(creatives!F132,data!I$2:J$29,2,0),"")</f>
        <v/>
      </c>
      <c r="I131" s="17" t="n">
        <f aca="false">IF(AND(NOT(ISBLANK(creatives!F132)),NOT(ISNUMBER(MATCH(H131,data!J$2:J$29,0)))),1,0)</f>
        <v>0</v>
      </c>
      <c r="J131" s="17" t="str">
        <f aca="false">IF(NOT(ISBLANK(creatives!E132)),VLOOKUP(creatives!E132,data!M$2:N$38,2,0),"")</f>
        <v/>
      </c>
      <c r="K131" s="17" t="n">
        <f aca="false">IF(NOT(ISNUMBER(MATCH(J131,data!N$2:N$38,0))),1,0)</f>
        <v>1</v>
      </c>
      <c r="L131" s="18" t="str">
        <f aca="false">IF(NOT(ISBLANK(creatives!C132)),VLOOKUP(creatives!C132,data!$A$2:$B$705,2,0),"")</f>
        <v/>
      </c>
      <c r="M131" s="17" t="n">
        <f aca="false">IF(NOT(ISNUMBER(MATCH(L131,data!B$2:B$705,0))),1,0)</f>
        <v>1</v>
      </c>
      <c r="N131" s="19" t="b">
        <f aca="false">IF(NOT(A131),TRUE(),AND(A131,SUM(B131,C131,D131,E131,F131,G131,K131,M131,I131)=0))</f>
        <v>1</v>
      </c>
      <c r="O131" s="20" t="n">
        <v>130</v>
      </c>
      <c r="P131" s="19" t="b">
        <f aca="false">IF(A131,COUNTIF(A$2:A131, CONCATENATE("=", TRUE()))=O131, TRUE())</f>
        <v>1</v>
      </c>
      <c r="Q131" s="1" t="n">
        <f aca="false">IF(A131,O131,0)</f>
        <v>0</v>
      </c>
    </row>
    <row r="132" customFormat="false" ht="15.65" hidden="false" customHeight="false" outlineLevel="0" collapsed="false">
      <c r="A132" s="17" t="b">
        <f aca="false">COUNTIF(creatives!B133:J133, "*")&gt;0</f>
        <v>0</v>
      </c>
      <c r="B132" s="17" t="n">
        <f aca="false">IF(OR(NOT(ISTEXT(creatives!B133)), ISBLANK(creatives!B133), LEN(TRIM(creatives!B133))&gt;200), 1, 0)</f>
        <v>1</v>
      </c>
      <c r="C132" s="17" t="n">
        <f aca="false">IF(NOT(ISNUMBER(MATCH(creatives!D133,data!C$2:C$6,0))),1,0)</f>
        <v>1</v>
      </c>
      <c r="D132" s="17" t="n">
        <f aca="false">IF(OR(LEFT(creatives!G133,7)="http://",LEFT(creatives!G133,8)="https://"), 0, 1)</f>
        <v>1</v>
      </c>
      <c r="E132" s="17" t="n">
        <f aca="false">IF(OR(LEFT(creatives!H133,7)="http://",LEFT(creatives!H133,8)="https://"), 0, 1)</f>
        <v>1</v>
      </c>
      <c r="F132" s="17" t="n">
        <f aca="false">IF(NOT(ISNUMBER(MATCH(creatives!I133,data!G$2:G$6,0))),1,0)</f>
        <v>1</v>
      </c>
      <c r="G132" s="17" t="n">
        <f aca="false">IF(ISBLANK(creatives!J133), 1, 0)</f>
        <v>1</v>
      </c>
      <c r="H132" s="17" t="str">
        <f aca="false">IF(NOT(ISBLANK(creatives!F133)),VLOOKUP(creatives!F133,data!I$2:J$29,2,0),"")</f>
        <v/>
      </c>
      <c r="I132" s="17" t="n">
        <f aca="false">IF(AND(NOT(ISBLANK(creatives!F133)),NOT(ISNUMBER(MATCH(H132,data!J$2:J$29,0)))),1,0)</f>
        <v>0</v>
      </c>
      <c r="J132" s="17" t="str">
        <f aca="false">IF(NOT(ISBLANK(creatives!E133)),VLOOKUP(creatives!E133,data!M$2:N$38,2,0),"")</f>
        <v/>
      </c>
      <c r="K132" s="17" t="n">
        <f aca="false">IF(NOT(ISNUMBER(MATCH(J132,data!N$2:N$38,0))),1,0)</f>
        <v>1</v>
      </c>
      <c r="L132" s="18" t="str">
        <f aca="false">IF(NOT(ISBLANK(creatives!C133)),VLOOKUP(creatives!C133,data!$A$2:$B$705,2,0),"")</f>
        <v/>
      </c>
      <c r="M132" s="17" t="n">
        <f aca="false">IF(NOT(ISNUMBER(MATCH(L132,data!B$2:B$705,0))),1,0)</f>
        <v>1</v>
      </c>
      <c r="N132" s="19" t="b">
        <f aca="false">IF(NOT(A132),TRUE(),AND(A132,SUM(B132,C132,D132,E132,F132,G132,K132,M132,I132)=0))</f>
        <v>1</v>
      </c>
      <c r="O132" s="20" t="n">
        <v>131</v>
      </c>
      <c r="P132" s="19" t="b">
        <f aca="false">IF(A132,COUNTIF(A$2:A132, CONCATENATE("=", TRUE()))=O132, TRUE())</f>
        <v>1</v>
      </c>
      <c r="Q132" s="1" t="n">
        <f aca="false">IF(A132,O132,0)</f>
        <v>0</v>
      </c>
    </row>
    <row r="133" customFormat="false" ht="15.65" hidden="false" customHeight="false" outlineLevel="0" collapsed="false">
      <c r="A133" s="17" t="b">
        <f aca="false">COUNTIF(creatives!B134:J134, "*")&gt;0</f>
        <v>0</v>
      </c>
      <c r="B133" s="17" t="n">
        <f aca="false">IF(OR(NOT(ISTEXT(creatives!B134)), ISBLANK(creatives!B134), LEN(TRIM(creatives!B134))&gt;200), 1, 0)</f>
        <v>1</v>
      </c>
      <c r="C133" s="17" t="n">
        <f aca="false">IF(NOT(ISNUMBER(MATCH(creatives!D134,data!C$2:C$6,0))),1,0)</f>
        <v>1</v>
      </c>
      <c r="D133" s="17" t="n">
        <f aca="false">IF(OR(LEFT(creatives!G134,7)="http://",LEFT(creatives!G134,8)="https://"), 0, 1)</f>
        <v>1</v>
      </c>
      <c r="E133" s="17" t="n">
        <f aca="false">IF(OR(LEFT(creatives!H134,7)="http://",LEFT(creatives!H134,8)="https://"), 0, 1)</f>
        <v>1</v>
      </c>
      <c r="F133" s="17" t="n">
        <f aca="false">IF(NOT(ISNUMBER(MATCH(creatives!I134,data!G$2:G$6,0))),1,0)</f>
        <v>1</v>
      </c>
      <c r="G133" s="17" t="n">
        <f aca="false">IF(ISBLANK(creatives!J134), 1, 0)</f>
        <v>1</v>
      </c>
      <c r="H133" s="17" t="str">
        <f aca="false">IF(NOT(ISBLANK(creatives!F134)),VLOOKUP(creatives!F134,data!I$2:J$29,2,0),"")</f>
        <v/>
      </c>
      <c r="I133" s="17" t="n">
        <f aca="false">IF(AND(NOT(ISBLANK(creatives!F134)),NOT(ISNUMBER(MATCH(H133,data!J$2:J$29,0)))),1,0)</f>
        <v>0</v>
      </c>
      <c r="J133" s="17" t="str">
        <f aca="false">IF(NOT(ISBLANK(creatives!E134)),VLOOKUP(creatives!E134,data!M$2:N$38,2,0),"")</f>
        <v/>
      </c>
      <c r="K133" s="17" t="n">
        <f aca="false">IF(NOT(ISNUMBER(MATCH(J133,data!N$2:N$38,0))),1,0)</f>
        <v>1</v>
      </c>
      <c r="L133" s="18" t="str">
        <f aca="false">IF(NOT(ISBLANK(creatives!C134)),VLOOKUP(creatives!C134,data!$A$2:$B$705,2,0),"")</f>
        <v/>
      </c>
      <c r="M133" s="17" t="n">
        <f aca="false">IF(NOT(ISNUMBER(MATCH(L133,data!B$2:B$705,0))),1,0)</f>
        <v>1</v>
      </c>
      <c r="N133" s="19" t="b">
        <f aca="false">IF(NOT(A133),TRUE(),AND(A133,SUM(B133,C133,D133,E133,F133,G133,K133,M133,I133)=0))</f>
        <v>1</v>
      </c>
      <c r="O133" s="20" t="n">
        <v>132</v>
      </c>
      <c r="P133" s="19" t="b">
        <f aca="false">IF(A133,COUNTIF(A$2:A133, CONCATENATE("=", TRUE()))=O133, TRUE())</f>
        <v>1</v>
      </c>
      <c r="Q133" s="1" t="n">
        <f aca="false">IF(A133,O133,0)</f>
        <v>0</v>
      </c>
    </row>
    <row r="134" customFormat="false" ht="15.65" hidden="false" customHeight="false" outlineLevel="0" collapsed="false">
      <c r="A134" s="17" t="b">
        <f aca="false">COUNTIF(creatives!B135:J135, "*")&gt;0</f>
        <v>0</v>
      </c>
      <c r="B134" s="17" t="n">
        <f aca="false">IF(OR(NOT(ISTEXT(creatives!B135)), ISBLANK(creatives!B135), LEN(TRIM(creatives!B135))&gt;200), 1, 0)</f>
        <v>1</v>
      </c>
      <c r="C134" s="17" t="n">
        <f aca="false">IF(NOT(ISNUMBER(MATCH(creatives!D135,data!C$2:C$6,0))),1,0)</f>
        <v>1</v>
      </c>
      <c r="D134" s="17" t="n">
        <f aca="false">IF(OR(LEFT(creatives!G135,7)="http://",LEFT(creatives!G135,8)="https://"), 0, 1)</f>
        <v>1</v>
      </c>
      <c r="E134" s="17" t="n">
        <f aca="false">IF(OR(LEFT(creatives!H135,7)="http://",LEFT(creatives!H135,8)="https://"), 0, 1)</f>
        <v>1</v>
      </c>
      <c r="F134" s="17" t="n">
        <f aca="false">IF(NOT(ISNUMBER(MATCH(creatives!I135,data!G$2:G$6,0))),1,0)</f>
        <v>1</v>
      </c>
      <c r="G134" s="17" t="n">
        <f aca="false">IF(ISBLANK(creatives!J135), 1, 0)</f>
        <v>1</v>
      </c>
      <c r="H134" s="17" t="str">
        <f aca="false">IF(NOT(ISBLANK(creatives!F135)),VLOOKUP(creatives!F135,data!I$2:J$29,2,0),"")</f>
        <v/>
      </c>
      <c r="I134" s="17" t="n">
        <f aca="false">IF(AND(NOT(ISBLANK(creatives!F135)),NOT(ISNUMBER(MATCH(H134,data!J$2:J$29,0)))),1,0)</f>
        <v>0</v>
      </c>
      <c r="J134" s="17" t="str">
        <f aca="false">IF(NOT(ISBLANK(creatives!E135)),VLOOKUP(creatives!E135,data!M$2:N$38,2,0),"")</f>
        <v/>
      </c>
      <c r="K134" s="17" t="n">
        <f aca="false">IF(NOT(ISNUMBER(MATCH(J134,data!N$2:N$38,0))),1,0)</f>
        <v>1</v>
      </c>
      <c r="L134" s="18" t="str">
        <f aca="false">IF(NOT(ISBLANK(creatives!C135)),VLOOKUP(creatives!C135,data!$A$2:$B$705,2,0),"")</f>
        <v/>
      </c>
      <c r="M134" s="17" t="n">
        <f aca="false">IF(NOT(ISNUMBER(MATCH(L134,data!B$2:B$705,0))),1,0)</f>
        <v>1</v>
      </c>
      <c r="N134" s="19" t="b">
        <f aca="false">IF(NOT(A134),TRUE(),AND(A134,SUM(B134,C134,D134,E134,F134,G134,K134,M134,I134)=0))</f>
        <v>1</v>
      </c>
      <c r="O134" s="20" t="n">
        <v>133</v>
      </c>
      <c r="P134" s="19" t="b">
        <f aca="false">IF(A134,COUNTIF(A$2:A134, CONCATENATE("=", TRUE()))=O134, TRUE())</f>
        <v>1</v>
      </c>
      <c r="Q134" s="1" t="n">
        <f aca="false">IF(A134,O134,0)</f>
        <v>0</v>
      </c>
    </row>
    <row r="135" customFormat="false" ht="15.65" hidden="false" customHeight="false" outlineLevel="0" collapsed="false">
      <c r="A135" s="17" t="b">
        <f aca="false">COUNTIF(creatives!B136:J136, "*")&gt;0</f>
        <v>0</v>
      </c>
      <c r="B135" s="17" t="n">
        <f aca="false">IF(OR(NOT(ISTEXT(creatives!B136)), ISBLANK(creatives!B136), LEN(TRIM(creatives!B136))&gt;200), 1, 0)</f>
        <v>1</v>
      </c>
      <c r="C135" s="17" t="n">
        <f aca="false">IF(NOT(ISNUMBER(MATCH(creatives!D136,data!C$2:C$6,0))),1,0)</f>
        <v>1</v>
      </c>
      <c r="D135" s="17" t="n">
        <f aca="false">IF(OR(LEFT(creatives!G136,7)="http://",LEFT(creatives!G136,8)="https://"), 0, 1)</f>
        <v>1</v>
      </c>
      <c r="E135" s="17" t="n">
        <f aca="false">IF(OR(LEFT(creatives!H136,7)="http://",LEFT(creatives!H136,8)="https://"), 0, 1)</f>
        <v>1</v>
      </c>
      <c r="F135" s="17" t="n">
        <f aca="false">IF(NOT(ISNUMBER(MATCH(creatives!I136,data!G$2:G$6,0))),1,0)</f>
        <v>1</v>
      </c>
      <c r="G135" s="17" t="n">
        <f aca="false">IF(ISBLANK(creatives!J136), 1, 0)</f>
        <v>1</v>
      </c>
      <c r="H135" s="17" t="str">
        <f aca="false">IF(NOT(ISBLANK(creatives!F136)),VLOOKUP(creatives!F136,data!I$2:J$29,2,0),"")</f>
        <v/>
      </c>
      <c r="I135" s="17" t="n">
        <f aca="false">IF(AND(NOT(ISBLANK(creatives!F136)),NOT(ISNUMBER(MATCH(H135,data!J$2:J$29,0)))),1,0)</f>
        <v>0</v>
      </c>
      <c r="J135" s="17" t="str">
        <f aca="false">IF(NOT(ISBLANK(creatives!E136)),VLOOKUP(creatives!E136,data!M$2:N$38,2,0),"")</f>
        <v/>
      </c>
      <c r="K135" s="17" t="n">
        <f aca="false">IF(NOT(ISNUMBER(MATCH(J135,data!N$2:N$38,0))),1,0)</f>
        <v>1</v>
      </c>
      <c r="L135" s="18" t="str">
        <f aca="false">IF(NOT(ISBLANK(creatives!C136)),VLOOKUP(creatives!C136,data!$A$2:$B$705,2,0),"")</f>
        <v/>
      </c>
      <c r="M135" s="17" t="n">
        <f aca="false">IF(NOT(ISNUMBER(MATCH(L135,data!B$2:B$705,0))),1,0)</f>
        <v>1</v>
      </c>
      <c r="N135" s="19" t="b">
        <f aca="false">IF(NOT(A135),TRUE(),AND(A135,SUM(B135,C135,D135,E135,F135,G135,K135,M135,I135)=0))</f>
        <v>1</v>
      </c>
      <c r="O135" s="20" t="n">
        <v>134</v>
      </c>
      <c r="P135" s="19" t="b">
        <f aca="false">IF(A135,COUNTIF(A$2:A135, CONCATENATE("=", TRUE()))=O135, TRUE())</f>
        <v>1</v>
      </c>
      <c r="Q135" s="1" t="n">
        <f aca="false">IF(A135,O135,0)</f>
        <v>0</v>
      </c>
    </row>
    <row r="136" customFormat="false" ht="15.65" hidden="false" customHeight="false" outlineLevel="0" collapsed="false">
      <c r="A136" s="17" t="b">
        <f aca="false">COUNTIF(creatives!B137:J137, "*")&gt;0</f>
        <v>0</v>
      </c>
      <c r="B136" s="17" t="n">
        <f aca="false">IF(OR(NOT(ISTEXT(creatives!B137)), ISBLANK(creatives!B137), LEN(TRIM(creatives!B137))&gt;200), 1, 0)</f>
        <v>1</v>
      </c>
      <c r="C136" s="17" t="n">
        <f aca="false">IF(NOT(ISNUMBER(MATCH(creatives!D137,data!C$2:C$6,0))),1,0)</f>
        <v>1</v>
      </c>
      <c r="D136" s="17" t="n">
        <f aca="false">IF(OR(LEFT(creatives!G137,7)="http://",LEFT(creatives!G137,8)="https://"), 0, 1)</f>
        <v>1</v>
      </c>
      <c r="E136" s="17" t="n">
        <f aca="false">IF(OR(LEFT(creatives!H137,7)="http://",LEFT(creatives!H137,8)="https://"), 0, 1)</f>
        <v>1</v>
      </c>
      <c r="F136" s="17" t="n">
        <f aca="false">IF(NOT(ISNUMBER(MATCH(creatives!I137,data!G$2:G$6,0))),1,0)</f>
        <v>1</v>
      </c>
      <c r="G136" s="17" t="n">
        <f aca="false">IF(ISBLANK(creatives!J137), 1, 0)</f>
        <v>1</v>
      </c>
      <c r="H136" s="17" t="str">
        <f aca="false">IF(NOT(ISBLANK(creatives!F137)),VLOOKUP(creatives!F137,data!I$2:J$29,2,0),"")</f>
        <v/>
      </c>
      <c r="I136" s="17" t="n">
        <f aca="false">IF(AND(NOT(ISBLANK(creatives!F137)),NOT(ISNUMBER(MATCH(H136,data!J$2:J$29,0)))),1,0)</f>
        <v>0</v>
      </c>
      <c r="J136" s="17" t="str">
        <f aca="false">IF(NOT(ISBLANK(creatives!E137)),VLOOKUP(creatives!E137,data!M$2:N$38,2,0),"")</f>
        <v/>
      </c>
      <c r="K136" s="17" t="n">
        <f aca="false">IF(NOT(ISNUMBER(MATCH(J136,data!N$2:N$38,0))),1,0)</f>
        <v>1</v>
      </c>
      <c r="L136" s="18" t="str">
        <f aca="false">IF(NOT(ISBLANK(creatives!C137)),VLOOKUP(creatives!C137,data!$A$2:$B$705,2,0),"")</f>
        <v/>
      </c>
      <c r="M136" s="17" t="n">
        <f aca="false">IF(NOT(ISNUMBER(MATCH(L136,data!B$2:B$705,0))),1,0)</f>
        <v>1</v>
      </c>
      <c r="N136" s="19" t="b">
        <f aca="false">IF(NOT(A136),TRUE(),AND(A136,SUM(B136,C136,D136,E136,F136,G136,K136,M136,I136)=0))</f>
        <v>1</v>
      </c>
      <c r="O136" s="20" t="n">
        <v>135</v>
      </c>
      <c r="P136" s="19" t="b">
        <f aca="false">IF(A136,COUNTIF(A$2:A136, CONCATENATE("=", TRUE()))=O136, TRUE())</f>
        <v>1</v>
      </c>
      <c r="Q136" s="1" t="n">
        <f aca="false">IF(A136,O136,0)</f>
        <v>0</v>
      </c>
    </row>
    <row r="137" customFormat="false" ht="15.65" hidden="false" customHeight="false" outlineLevel="0" collapsed="false">
      <c r="A137" s="17" t="b">
        <f aca="false">COUNTIF(creatives!B138:J138, "*")&gt;0</f>
        <v>0</v>
      </c>
      <c r="B137" s="17" t="n">
        <f aca="false">IF(OR(NOT(ISTEXT(creatives!B138)), ISBLANK(creatives!B138), LEN(TRIM(creatives!B138))&gt;200), 1, 0)</f>
        <v>1</v>
      </c>
      <c r="C137" s="17" t="n">
        <f aca="false">IF(NOT(ISNUMBER(MATCH(creatives!D138,data!C$2:C$6,0))),1,0)</f>
        <v>1</v>
      </c>
      <c r="D137" s="17" t="n">
        <f aca="false">IF(OR(LEFT(creatives!G138,7)="http://",LEFT(creatives!G138,8)="https://"), 0, 1)</f>
        <v>1</v>
      </c>
      <c r="E137" s="17" t="n">
        <f aca="false">IF(OR(LEFT(creatives!H138,7)="http://",LEFT(creatives!H138,8)="https://"), 0, 1)</f>
        <v>1</v>
      </c>
      <c r="F137" s="17" t="n">
        <f aca="false">IF(NOT(ISNUMBER(MATCH(creatives!I138,data!G$2:G$6,0))),1,0)</f>
        <v>1</v>
      </c>
      <c r="G137" s="17" t="n">
        <f aca="false">IF(ISBLANK(creatives!J138), 1, 0)</f>
        <v>1</v>
      </c>
      <c r="H137" s="17" t="str">
        <f aca="false">IF(NOT(ISBLANK(creatives!F138)),VLOOKUP(creatives!F138,data!I$2:J$29,2,0),"")</f>
        <v/>
      </c>
      <c r="I137" s="17" t="n">
        <f aca="false">IF(AND(NOT(ISBLANK(creatives!F138)),NOT(ISNUMBER(MATCH(H137,data!J$2:J$29,0)))),1,0)</f>
        <v>0</v>
      </c>
      <c r="J137" s="17" t="str">
        <f aca="false">IF(NOT(ISBLANK(creatives!E138)),VLOOKUP(creatives!E138,data!M$2:N$38,2,0),"")</f>
        <v/>
      </c>
      <c r="K137" s="17" t="n">
        <f aca="false">IF(NOT(ISNUMBER(MATCH(J137,data!N$2:N$38,0))),1,0)</f>
        <v>1</v>
      </c>
      <c r="L137" s="18" t="str">
        <f aca="false">IF(NOT(ISBLANK(creatives!C138)),VLOOKUP(creatives!C138,data!$A$2:$B$705,2,0),"")</f>
        <v/>
      </c>
      <c r="M137" s="17" t="n">
        <f aca="false">IF(NOT(ISNUMBER(MATCH(L137,data!B$2:B$705,0))),1,0)</f>
        <v>1</v>
      </c>
      <c r="N137" s="19" t="b">
        <f aca="false">IF(NOT(A137),TRUE(),AND(A137,SUM(B137,C137,D137,E137,F137,G137,K137,M137,I137)=0))</f>
        <v>1</v>
      </c>
      <c r="O137" s="20" t="n">
        <v>136</v>
      </c>
      <c r="P137" s="19" t="b">
        <f aca="false">IF(A137,COUNTIF(A$2:A137, CONCATENATE("=", TRUE()))=O137, TRUE())</f>
        <v>1</v>
      </c>
      <c r="Q137" s="1" t="n">
        <f aca="false">IF(A137,O137,0)</f>
        <v>0</v>
      </c>
    </row>
    <row r="138" customFormat="false" ht="15.65" hidden="false" customHeight="false" outlineLevel="0" collapsed="false">
      <c r="A138" s="17" t="b">
        <f aca="false">COUNTIF(creatives!B139:J139, "*")&gt;0</f>
        <v>0</v>
      </c>
      <c r="B138" s="17" t="n">
        <f aca="false">IF(OR(NOT(ISTEXT(creatives!B139)), ISBLANK(creatives!B139), LEN(TRIM(creatives!B139))&gt;200), 1, 0)</f>
        <v>1</v>
      </c>
      <c r="C138" s="17" t="n">
        <f aca="false">IF(NOT(ISNUMBER(MATCH(creatives!D139,data!C$2:C$6,0))),1,0)</f>
        <v>1</v>
      </c>
      <c r="D138" s="17" t="n">
        <f aca="false">IF(OR(LEFT(creatives!G139,7)="http://",LEFT(creatives!G139,8)="https://"), 0, 1)</f>
        <v>1</v>
      </c>
      <c r="E138" s="17" t="n">
        <f aca="false">IF(OR(LEFT(creatives!H139,7)="http://",LEFT(creatives!H139,8)="https://"), 0, 1)</f>
        <v>1</v>
      </c>
      <c r="F138" s="17" t="n">
        <f aca="false">IF(NOT(ISNUMBER(MATCH(creatives!I139,data!G$2:G$6,0))),1,0)</f>
        <v>1</v>
      </c>
      <c r="G138" s="17" t="n">
        <f aca="false">IF(ISBLANK(creatives!J139), 1, 0)</f>
        <v>1</v>
      </c>
      <c r="H138" s="17" t="str">
        <f aca="false">IF(NOT(ISBLANK(creatives!F139)),VLOOKUP(creatives!F139,data!I$2:J$29,2,0),"")</f>
        <v/>
      </c>
      <c r="I138" s="17" t="n">
        <f aca="false">IF(AND(NOT(ISBLANK(creatives!F139)),NOT(ISNUMBER(MATCH(H138,data!J$2:J$29,0)))),1,0)</f>
        <v>0</v>
      </c>
      <c r="J138" s="17" t="str">
        <f aca="false">IF(NOT(ISBLANK(creatives!E139)),VLOOKUP(creatives!E139,data!M$2:N$38,2,0),"")</f>
        <v/>
      </c>
      <c r="K138" s="17" t="n">
        <f aca="false">IF(NOT(ISNUMBER(MATCH(J138,data!N$2:N$38,0))),1,0)</f>
        <v>1</v>
      </c>
      <c r="L138" s="18" t="str">
        <f aca="false">IF(NOT(ISBLANK(creatives!C139)),VLOOKUP(creatives!C139,data!$A$2:$B$705,2,0),"")</f>
        <v/>
      </c>
      <c r="M138" s="17" t="n">
        <f aca="false">IF(NOT(ISNUMBER(MATCH(L138,data!B$2:B$705,0))),1,0)</f>
        <v>1</v>
      </c>
      <c r="N138" s="19" t="b">
        <f aca="false">IF(NOT(A138),TRUE(),AND(A138,SUM(B138,C138,D138,E138,F138,G138,K138,M138,I138)=0))</f>
        <v>1</v>
      </c>
      <c r="O138" s="20" t="n">
        <v>137</v>
      </c>
      <c r="P138" s="19" t="b">
        <f aca="false">IF(A138,COUNTIF(A$2:A138, CONCATENATE("=", TRUE()))=O138, TRUE())</f>
        <v>1</v>
      </c>
      <c r="Q138" s="1" t="n">
        <f aca="false">IF(A138,O138,0)</f>
        <v>0</v>
      </c>
    </row>
    <row r="139" customFormat="false" ht="15.65" hidden="false" customHeight="false" outlineLevel="0" collapsed="false">
      <c r="A139" s="17" t="b">
        <f aca="false">COUNTIF(creatives!B140:J140, "*")&gt;0</f>
        <v>0</v>
      </c>
      <c r="B139" s="17" t="n">
        <f aca="false">IF(OR(NOT(ISTEXT(creatives!B140)), ISBLANK(creatives!B140), LEN(TRIM(creatives!B140))&gt;200), 1, 0)</f>
        <v>1</v>
      </c>
      <c r="C139" s="17" t="n">
        <f aca="false">IF(NOT(ISNUMBER(MATCH(creatives!D140,data!C$2:C$6,0))),1,0)</f>
        <v>1</v>
      </c>
      <c r="D139" s="17" t="n">
        <f aca="false">IF(OR(LEFT(creatives!G140,7)="http://",LEFT(creatives!G140,8)="https://"), 0, 1)</f>
        <v>1</v>
      </c>
      <c r="E139" s="17" t="n">
        <f aca="false">IF(OR(LEFT(creatives!H140,7)="http://",LEFT(creatives!H140,8)="https://"), 0, 1)</f>
        <v>1</v>
      </c>
      <c r="F139" s="17" t="n">
        <f aca="false">IF(NOT(ISNUMBER(MATCH(creatives!I140,data!G$2:G$6,0))),1,0)</f>
        <v>1</v>
      </c>
      <c r="G139" s="17" t="n">
        <f aca="false">IF(ISBLANK(creatives!J140), 1, 0)</f>
        <v>1</v>
      </c>
      <c r="H139" s="17" t="str">
        <f aca="false">IF(NOT(ISBLANK(creatives!F140)),VLOOKUP(creatives!F140,data!I$2:J$29,2,0),"")</f>
        <v/>
      </c>
      <c r="I139" s="17" t="n">
        <f aca="false">IF(AND(NOT(ISBLANK(creatives!F140)),NOT(ISNUMBER(MATCH(H139,data!J$2:J$29,0)))),1,0)</f>
        <v>0</v>
      </c>
      <c r="J139" s="17" t="str">
        <f aca="false">IF(NOT(ISBLANK(creatives!E140)),VLOOKUP(creatives!E140,data!M$2:N$38,2,0),"")</f>
        <v/>
      </c>
      <c r="K139" s="17" t="n">
        <f aca="false">IF(NOT(ISNUMBER(MATCH(J139,data!N$2:N$38,0))),1,0)</f>
        <v>1</v>
      </c>
      <c r="L139" s="18" t="str">
        <f aca="false">IF(NOT(ISBLANK(creatives!C140)),VLOOKUP(creatives!C140,data!$A$2:$B$705,2,0),"")</f>
        <v/>
      </c>
      <c r="M139" s="17" t="n">
        <f aca="false">IF(NOT(ISNUMBER(MATCH(L139,data!B$2:B$705,0))),1,0)</f>
        <v>1</v>
      </c>
      <c r="N139" s="19" t="b">
        <f aca="false">IF(NOT(A139),TRUE(),AND(A139,SUM(B139,C139,D139,E139,F139,G139,K139,M139,I139)=0))</f>
        <v>1</v>
      </c>
      <c r="O139" s="20" t="n">
        <v>138</v>
      </c>
      <c r="P139" s="19" t="b">
        <f aca="false">IF(A139,COUNTIF(A$2:A139, CONCATENATE("=", TRUE()))=O139, TRUE())</f>
        <v>1</v>
      </c>
      <c r="Q139" s="1" t="n">
        <f aca="false">IF(A139,O139,0)</f>
        <v>0</v>
      </c>
    </row>
    <row r="140" customFormat="false" ht="15.65" hidden="false" customHeight="false" outlineLevel="0" collapsed="false">
      <c r="A140" s="17" t="b">
        <f aca="false">COUNTIF(creatives!B141:J141, "*")&gt;0</f>
        <v>0</v>
      </c>
      <c r="B140" s="17" t="n">
        <f aca="false">IF(OR(NOT(ISTEXT(creatives!B141)), ISBLANK(creatives!B141), LEN(TRIM(creatives!B141))&gt;200), 1, 0)</f>
        <v>1</v>
      </c>
      <c r="C140" s="17" t="n">
        <f aca="false">IF(NOT(ISNUMBER(MATCH(creatives!D141,data!C$2:C$6,0))),1,0)</f>
        <v>1</v>
      </c>
      <c r="D140" s="17" t="n">
        <f aca="false">IF(OR(LEFT(creatives!G141,7)="http://",LEFT(creatives!G141,8)="https://"), 0, 1)</f>
        <v>1</v>
      </c>
      <c r="E140" s="17" t="n">
        <f aca="false">IF(OR(LEFT(creatives!H141,7)="http://",LEFT(creatives!H141,8)="https://"), 0, 1)</f>
        <v>1</v>
      </c>
      <c r="F140" s="17" t="n">
        <f aca="false">IF(NOT(ISNUMBER(MATCH(creatives!I141,data!G$2:G$6,0))),1,0)</f>
        <v>1</v>
      </c>
      <c r="G140" s="17" t="n">
        <f aca="false">IF(ISBLANK(creatives!J141), 1, 0)</f>
        <v>1</v>
      </c>
      <c r="H140" s="17" t="str">
        <f aca="false">IF(NOT(ISBLANK(creatives!F141)),VLOOKUP(creatives!F141,data!I$2:J$29,2,0),"")</f>
        <v/>
      </c>
      <c r="I140" s="17" t="n">
        <f aca="false">IF(AND(NOT(ISBLANK(creatives!F141)),NOT(ISNUMBER(MATCH(H140,data!J$2:J$29,0)))),1,0)</f>
        <v>0</v>
      </c>
      <c r="J140" s="17" t="str">
        <f aca="false">IF(NOT(ISBLANK(creatives!E141)),VLOOKUP(creatives!E141,data!M$2:N$38,2,0),"")</f>
        <v/>
      </c>
      <c r="K140" s="17" t="n">
        <f aca="false">IF(NOT(ISNUMBER(MATCH(J140,data!N$2:N$38,0))),1,0)</f>
        <v>1</v>
      </c>
      <c r="L140" s="18" t="str">
        <f aca="false">IF(NOT(ISBLANK(creatives!C141)),VLOOKUP(creatives!C141,data!$A$2:$B$705,2,0),"")</f>
        <v/>
      </c>
      <c r="M140" s="17" t="n">
        <f aca="false">IF(NOT(ISNUMBER(MATCH(L140,data!B$2:B$705,0))),1,0)</f>
        <v>1</v>
      </c>
      <c r="N140" s="19" t="b">
        <f aca="false">IF(NOT(A140),TRUE(),AND(A140,SUM(B140,C140,D140,E140,F140,G140,K140,M140,I140)=0))</f>
        <v>1</v>
      </c>
      <c r="O140" s="20" t="n">
        <v>139</v>
      </c>
      <c r="P140" s="19" t="b">
        <f aca="false">IF(A140,COUNTIF(A$2:A140, CONCATENATE("=", TRUE()))=O140, TRUE())</f>
        <v>1</v>
      </c>
      <c r="Q140" s="1" t="n">
        <f aca="false">IF(A140,O140,0)</f>
        <v>0</v>
      </c>
    </row>
    <row r="141" customFormat="false" ht="15.65" hidden="false" customHeight="false" outlineLevel="0" collapsed="false">
      <c r="A141" s="17" t="b">
        <f aca="false">COUNTIF(creatives!B142:J142, "*")&gt;0</f>
        <v>0</v>
      </c>
      <c r="B141" s="17" t="n">
        <f aca="false">IF(OR(NOT(ISTEXT(creatives!B142)), ISBLANK(creatives!B142), LEN(TRIM(creatives!B142))&gt;200), 1, 0)</f>
        <v>1</v>
      </c>
      <c r="C141" s="17" t="n">
        <f aca="false">IF(NOT(ISNUMBER(MATCH(creatives!D142,data!C$2:C$6,0))),1,0)</f>
        <v>1</v>
      </c>
      <c r="D141" s="17" t="n">
        <f aca="false">IF(OR(LEFT(creatives!G142,7)="http://",LEFT(creatives!G142,8)="https://"), 0, 1)</f>
        <v>1</v>
      </c>
      <c r="E141" s="17" t="n">
        <f aca="false">IF(OR(LEFT(creatives!H142,7)="http://",LEFT(creatives!H142,8)="https://"), 0, 1)</f>
        <v>1</v>
      </c>
      <c r="F141" s="17" t="n">
        <f aca="false">IF(NOT(ISNUMBER(MATCH(creatives!I142,data!G$2:G$6,0))),1,0)</f>
        <v>1</v>
      </c>
      <c r="G141" s="17" t="n">
        <f aca="false">IF(ISBLANK(creatives!J142), 1, 0)</f>
        <v>1</v>
      </c>
      <c r="H141" s="17" t="str">
        <f aca="false">IF(NOT(ISBLANK(creatives!F142)),VLOOKUP(creatives!F142,data!I$2:J$29,2,0),"")</f>
        <v/>
      </c>
      <c r="I141" s="17" t="n">
        <f aca="false">IF(AND(NOT(ISBLANK(creatives!F142)),NOT(ISNUMBER(MATCH(H141,data!J$2:J$29,0)))),1,0)</f>
        <v>0</v>
      </c>
      <c r="J141" s="17" t="str">
        <f aca="false">IF(NOT(ISBLANK(creatives!E142)),VLOOKUP(creatives!E142,data!M$2:N$38,2,0),"")</f>
        <v/>
      </c>
      <c r="K141" s="17" t="n">
        <f aca="false">IF(NOT(ISNUMBER(MATCH(J141,data!N$2:N$38,0))),1,0)</f>
        <v>1</v>
      </c>
      <c r="L141" s="18" t="str">
        <f aca="false">IF(NOT(ISBLANK(creatives!C142)),VLOOKUP(creatives!C142,data!$A$2:$B$705,2,0),"")</f>
        <v/>
      </c>
      <c r="M141" s="17" t="n">
        <f aca="false">IF(NOT(ISNUMBER(MATCH(L141,data!B$2:B$705,0))),1,0)</f>
        <v>1</v>
      </c>
      <c r="N141" s="19" t="b">
        <f aca="false">IF(NOT(A141),TRUE(),AND(A141,SUM(B141,C141,D141,E141,F141,G141,K141,M141,I141)=0))</f>
        <v>1</v>
      </c>
      <c r="O141" s="20" t="n">
        <v>140</v>
      </c>
      <c r="P141" s="19" t="b">
        <f aca="false">IF(A141,COUNTIF(A$2:A141, CONCATENATE("=", TRUE()))=O141, TRUE())</f>
        <v>1</v>
      </c>
      <c r="Q141" s="1" t="n">
        <f aca="false">IF(A141,O141,0)</f>
        <v>0</v>
      </c>
    </row>
    <row r="142" customFormat="false" ht="15.65" hidden="false" customHeight="false" outlineLevel="0" collapsed="false">
      <c r="A142" s="17" t="b">
        <f aca="false">COUNTIF(creatives!B143:J143, "*")&gt;0</f>
        <v>0</v>
      </c>
      <c r="B142" s="17" t="n">
        <f aca="false">IF(OR(NOT(ISTEXT(creatives!B143)), ISBLANK(creatives!B143), LEN(TRIM(creatives!B143))&gt;200), 1, 0)</f>
        <v>1</v>
      </c>
      <c r="C142" s="17" t="n">
        <f aca="false">IF(NOT(ISNUMBER(MATCH(creatives!D143,data!C$2:C$6,0))),1,0)</f>
        <v>1</v>
      </c>
      <c r="D142" s="17" t="n">
        <f aca="false">IF(OR(LEFT(creatives!G143,7)="http://",LEFT(creatives!G143,8)="https://"), 0, 1)</f>
        <v>1</v>
      </c>
      <c r="E142" s="17" t="n">
        <f aca="false">IF(OR(LEFT(creatives!H143,7)="http://",LEFT(creatives!H143,8)="https://"), 0, 1)</f>
        <v>1</v>
      </c>
      <c r="F142" s="17" t="n">
        <f aca="false">IF(NOT(ISNUMBER(MATCH(creatives!I143,data!G$2:G$6,0))),1,0)</f>
        <v>1</v>
      </c>
      <c r="G142" s="17" t="n">
        <f aca="false">IF(ISBLANK(creatives!J143), 1, 0)</f>
        <v>1</v>
      </c>
      <c r="H142" s="17" t="str">
        <f aca="false">IF(NOT(ISBLANK(creatives!F143)),VLOOKUP(creatives!F143,data!I$2:J$29,2,0),"")</f>
        <v/>
      </c>
      <c r="I142" s="17" t="n">
        <f aca="false">IF(AND(NOT(ISBLANK(creatives!F143)),NOT(ISNUMBER(MATCH(H142,data!J$2:J$29,0)))),1,0)</f>
        <v>0</v>
      </c>
      <c r="J142" s="17" t="str">
        <f aca="false">IF(NOT(ISBLANK(creatives!E143)),VLOOKUP(creatives!E143,data!M$2:N$38,2,0),"")</f>
        <v/>
      </c>
      <c r="K142" s="17" t="n">
        <f aca="false">IF(NOT(ISNUMBER(MATCH(J142,data!N$2:N$38,0))),1,0)</f>
        <v>1</v>
      </c>
      <c r="L142" s="18" t="str">
        <f aca="false">IF(NOT(ISBLANK(creatives!C143)),VLOOKUP(creatives!C143,data!$A$2:$B$705,2,0),"")</f>
        <v/>
      </c>
      <c r="M142" s="17" t="n">
        <f aca="false">IF(NOT(ISNUMBER(MATCH(L142,data!B$2:B$705,0))),1,0)</f>
        <v>1</v>
      </c>
      <c r="N142" s="19" t="b">
        <f aca="false">IF(NOT(A142),TRUE(),AND(A142,SUM(B142,C142,D142,E142,F142,G142,K142,M142,I142)=0))</f>
        <v>1</v>
      </c>
      <c r="O142" s="20" t="n">
        <v>141</v>
      </c>
      <c r="P142" s="19" t="b">
        <f aca="false">IF(A142,COUNTIF(A$2:A142, CONCATENATE("=", TRUE()))=O142, TRUE())</f>
        <v>1</v>
      </c>
      <c r="Q142" s="1" t="n">
        <f aca="false">IF(A142,O142,0)</f>
        <v>0</v>
      </c>
    </row>
    <row r="143" customFormat="false" ht="15.65" hidden="false" customHeight="false" outlineLevel="0" collapsed="false">
      <c r="A143" s="17" t="b">
        <f aca="false">COUNTIF(creatives!B144:J144, "*")&gt;0</f>
        <v>0</v>
      </c>
      <c r="B143" s="17" t="n">
        <f aca="false">IF(OR(NOT(ISTEXT(creatives!B144)), ISBLANK(creatives!B144), LEN(TRIM(creatives!B144))&gt;200), 1, 0)</f>
        <v>1</v>
      </c>
      <c r="C143" s="17" t="n">
        <f aca="false">IF(NOT(ISNUMBER(MATCH(creatives!D144,data!C$2:C$6,0))),1,0)</f>
        <v>1</v>
      </c>
      <c r="D143" s="17" t="n">
        <f aca="false">IF(OR(LEFT(creatives!G144,7)="http://",LEFT(creatives!G144,8)="https://"), 0, 1)</f>
        <v>1</v>
      </c>
      <c r="E143" s="17" t="n">
        <f aca="false">IF(OR(LEFT(creatives!H144,7)="http://",LEFT(creatives!H144,8)="https://"), 0, 1)</f>
        <v>1</v>
      </c>
      <c r="F143" s="17" t="n">
        <f aca="false">IF(NOT(ISNUMBER(MATCH(creatives!I144,data!G$2:G$6,0))),1,0)</f>
        <v>1</v>
      </c>
      <c r="G143" s="17" t="n">
        <f aca="false">IF(ISBLANK(creatives!J144), 1, 0)</f>
        <v>1</v>
      </c>
      <c r="H143" s="17" t="str">
        <f aca="false">IF(NOT(ISBLANK(creatives!F144)),VLOOKUP(creatives!F144,data!I$2:J$29,2,0),"")</f>
        <v/>
      </c>
      <c r="I143" s="17" t="n">
        <f aca="false">IF(AND(NOT(ISBLANK(creatives!F144)),NOT(ISNUMBER(MATCH(H143,data!J$2:J$29,0)))),1,0)</f>
        <v>0</v>
      </c>
      <c r="J143" s="17" t="str">
        <f aca="false">IF(NOT(ISBLANK(creatives!E144)),VLOOKUP(creatives!E144,data!M$2:N$38,2,0),"")</f>
        <v/>
      </c>
      <c r="K143" s="17" t="n">
        <f aca="false">IF(NOT(ISNUMBER(MATCH(J143,data!N$2:N$38,0))),1,0)</f>
        <v>1</v>
      </c>
      <c r="L143" s="18" t="str">
        <f aca="false">IF(NOT(ISBLANK(creatives!C144)),VLOOKUP(creatives!C144,data!$A$2:$B$705,2,0),"")</f>
        <v/>
      </c>
      <c r="M143" s="17" t="n">
        <f aca="false">IF(NOT(ISNUMBER(MATCH(L143,data!B$2:B$705,0))),1,0)</f>
        <v>1</v>
      </c>
      <c r="N143" s="19" t="b">
        <f aca="false">IF(NOT(A143),TRUE(),AND(A143,SUM(B143,C143,D143,E143,F143,G143,K143,M143,I143)=0))</f>
        <v>1</v>
      </c>
      <c r="O143" s="20" t="n">
        <v>142</v>
      </c>
      <c r="P143" s="19" t="b">
        <f aca="false">IF(A143,COUNTIF(A$2:A143, CONCATENATE("=", TRUE()))=O143, TRUE())</f>
        <v>1</v>
      </c>
      <c r="Q143" s="1" t="n">
        <f aca="false">IF(A143,O143,0)</f>
        <v>0</v>
      </c>
    </row>
    <row r="144" customFormat="false" ht="15.65" hidden="false" customHeight="false" outlineLevel="0" collapsed="false">
      <c r="A144" s="17" t="b">
        <f aca="false">COUNTIF(creatives!B145:J145, "*")&gt;0</f>
        <v>0</v>
      </c>
      <c r="B144" s="17" t="n">
        <f aca="false">IF(OR(NOT(ISTEXT(creatives!B145)), ISBLANK(creatives!B145), LEN(TRIM(creatives!B145))&gt;200), 1, 0)</f>
        <v>1</v>
      </c>
      <c r="C144" s="17" t="n">
        <f aca="false">IF(NOT(ISNUMBER(MATCH(creatives!D145,data!C$2:C$6,0))),1,0)</f>
        <v>1</v>
      </c>
      <c r="D144" s="17" t="n">
        <f aca="false">IF(OR(LEFT(creatives!G145,7)="http://",LEFT(creatives!G145,8)="https://"), 0, 1)</f>
        <v>1</v>
      </c>
      <c r="E144" s="17" t="n">
        <f aca="false">IF(OR(LEFT(creatives!H145,7)="http://",LEFT(creatives!H145,8)="https://"), 0, 1)</f>
        <v>1</v>
      </c>
      <c r="F144" s="17" t="n">
        <f aca="false">IF(NOT(ISNUMBER(MATCH(creatives!I145,data!G$2:G$6,0))),1,0)</f>
        <v>1</v>
      </c>
      <c r="G144" s="17" t="n">
        <f aca="false">IF(ISBLANK(creatives!J145), 1, 0)</f>
        <v>1</v>
      </c>
      <c r="H144" s="17" t="str">
        <f aca="false">IF(NOT(ISBLANK(creatives!F145)),VLOOKUP(creatives!F145,data!I$2:J$29,2,0),"")</f>
        <v/>
      </c>
      <c r="I144" s="17" t="n">
        <f aca="false">IF(AND(NOT(ISBLANK(creatives!F145)),NOT(ISNUMBER(MATCH(H144,data!J$2:J$29,0)))),1,0)</f>
        <v>0</v>
      </c>
      <c r="J144" s="17" t="str">
        <f aca="false">IF(NOT(ISBLANK(creatives!E145)),VLOOKUP(creatives!E145,data!M$2:N$38,2,0),"")</f>
        <v/>
      </c>
      <c r="K144" s="17" t="n">
        <f aca="false">IF(NOT(ISNUMBER(MATCH(J144,data!N$2:N$38,0))),1,0)</f>
        <v>1</v>
      </c>
      <c r="L144" s="18" t="str">
        <f aca="false">IF(NOT(ISBLANK(creatives!C145)),VLOOKUP(creatives!C145,data!$A$2:$B$705,2,0),"")</f>
        <v/>
      </c>
      <c r="M144" s="17" t="n">
        <f aca="false">IF(NOT(ISNUMBER(MATCH(L144,data!B$2:B$705,0))),1,0)</f>
        <v>1</v>
      </c>
      <c r="N144" s="19" t="b">
        <f aca="false">IF(NOT(A144),TRUE(),AND(A144,SUM(B144,C144,D144,E144,F144,G144,K144,M144,I144)=0))</f>
        <v>1</v>
      </c>
      <c r="O144" s="20" t="n">
        <v>143</v>
      </c>
      <c r="P144" s="19" t="b">
        <f aca="false">IF(A144,COUNTIF(A$2:A144, CONCATENATE("=", TRUE()))=O144, TRUE())</f>
        <v>1</v>
      </c>
      <c r="Q144" s="1" t="n">
        <f aca="false">IF(A144,O144,0)</f>
        <v>0</v>
      </c>
    </row>
    <row r="145" customFormat="false" ht="15.65" hidden="false" customHeight="false" outlineLevel="0" collapsed="false">
      <c r="A145" s="17" t="b">
        <f aca="false">COUNTIF(creatives!B146:J146, "*")&gt;0</f>
        <v>0</v>
      </c>
      <c r="B145" s="17" t="n">
        <f aca="false">IF(OR(NOT(ISTEXT(creatives!B146)), ISBLANK(creatives!B146), LEN(TRIM(creatives!B146))&gt;200), 1, 0)</f>
        <v>1</v>
      </c>
      <c r="C145" s="17" t="n">
        <f aca="false">IF(NOT(ISNUMBER(MATCH(creatives!D146,data!C$2:C$6,0))),1,0)</f>
        <v>1</v>
      </c>
      <c r="D145" s="17" t="n">
        <f aca="false">IF(OR(LEFT(creatives!G146,7)="http://",LEFT(creatives!G146,8)="https://"), 0, 1)</f>
        <v>1</v>
      </c>
      <c r="E145" s="17" t="n">
        <f aca="false">IF(OR(LEFT(creatives!H146,7)="http://",LEFT(creatives!H146,8)="https://"), 0, 1)</f>
        <v>1</v>
      </c>
      <c r="F145" s="17" t="n">
        <f aca="false">IF(NOT(ISNUMBER(MATCH(creatives!I146,data!G$2:G$6,0))),1,0)</f>
        <v>1</v>
      </c>
      <c r="G145" s="17" t="n">
        <f aca="false">IF(ISBLANK(creatives!J146), 1, 0)</f>
        <v>1</v>
      </c>
      <c r="H145" s="17" t="str">
        <f aca="false">IF(NOT(ISBLANK(creatives!F146)),VLOOKUP(creatives!F146,data!I$2:J$29,2,0),"")</f>
        <v/>
      </c>
      <c r="I145" s="17" t="n">
        <f aca="false">IF(AND(NOT(ISBLANK(creatives!F146)),NOT(ISNUMBER(MATCH(H145,data!J$2:J$29,0)))),1,0)</f>
        <v>0</v>
      </c>
      <c r="J145" s="17" t="str">
        <f aca="false">IF(NOT(ISBLANK(creatives!E146)),VLOOKUP(creatives!E146,data!M$2:N$38,2,0),"")</f>
        <v/>
      </c>
      <c r="K145" s="17" t="n">
        <f aca="false">IF(NOT(ISNUMBER(MATCH(J145,data!N$2:N$38,0))),1,0)</f>
        <v>1</v>
      </c>
      <c r="L145" s="18" t="str">
        <f aca="false">IF(NOT(ISBLANK(creatives!C146)),VLOOKUP(creatives!C146,data!$A$2:$B$705,2,0),"")</f>
        <v/>
      </c>
      <c r="M145" s="17" t="n">
        <f aca="false">IF(NOT(ISNUMBER(MATCH(L145,data!B$2:B$705,0))),1,0)</f>
        <v>1</v>
      </c>
      <c r="N145" s="19" t="b">
        <f aca="false">IF(NOT(A145),TRUE(),AND(A145,SUM(B145,C145,D145,E145,F145,G145,K145,M145,I145)=0))</f>
        <v>1</v>
      </c>
      <c r="O145" s="20" t="n">
        <v>144</v>
      </c>
      <c r="P145" s="19" t="b">
        <f aca="false">IF(A145,COUNTIF(A$2:A145, CONCATENATE("=", TRUE()))=O145, TRUE())</f>
        <v>1</v>
      </c>
      <c r="Q145" s="1" t="n">
        <f aca="false">IF(A145,O145,0)</f>
        <v>0</v>
      </c>
    </row>
    <row r="146" customFormat="false" ht="15.65" hidden="false" customHeight="false" outlineLevel="0" collapsed="false">
      <c r="A146" s="17" t="b">
        <f aca="false">COUNTIF(creatives!B147:J147, "*")&gt;0</f>
        <v>0</v>
      </c>
      <c r="B146" s="17" t="n">
        <f aca="false">IF(OR(NOT(ISTEXT(creatives!B147)), ISBLANK(creatives!B147), LEN(TRIM(creatives!B147))&gt;200), 1, 0)</f>
        <v>1</v>
      </c>
      <c r="C146" s="17" t="n">
        <f aca="false">IF(NOT(ISNUMBER(MATCH(creatives!D147,data!C$2:C$6,0))),1,0)</f>
        <v>1</v>
      </c>
      <c r="D146" s="17" t="n">
        <f aca="false">IF(OR(LEFT(creatives!G147,7)="http://",LEFT(creatives!G147,8)="https://"), 0, 1)</f>
        <v>1</v>
      </c>
      <c r="E146" s="17" t="n">
        <f aca="false">IF(OR(LEFT(creatives!H147,7)="http://",LEFT(creatives!H147,8)="https://"), 0, 1)</f>
        <v>1</v>
      </c>
      <c r="F146" s="17" t="n">
        <f aca="false">IF(NOT(ISNUMBER(MATCH(creatives!I147,data!G$2:G$6,0))),1,0)</f>
        <v>1</v>
      </c>
      <c r="G146" s="17" t="n">
        <f aca="false">IF(ISBLANK(creatives!J147), 1, 0)</f>
        <v>1</v>
      </c>
      <c r="H146" s="17" t="str">
        <f aca="false">IF(NOT(ISBLANK(creatives!F147)),VLOOKUP(creatives!F147,data!I$2:J$29,2,0),"")</f>
        <v/>
      </c>
      <c r="I146" s="17" t="n">
        <f aca="false">IF(AND(NOT(ISBLANK(creatives!F147)),NOT(ISNUMBER(MATCH(H146,data!J$2:J$29,0)))),1,0)</f>
        <v>0</v>
      </c>
      <c r="J146" s="17" t="str">
        <f aca="false">IF(NOT(ISBLANK(creatives!E147)),VLOOKUP(creatives!E147,data!M$2:N$38,2,0),"")</f>
        <v/>
      </c>
      <c r="K146" s="17" t="n">
        <f aca="false">IF(NOT(ISNUMBER(MATCH(J146,data!N$2:N$38,0))),1,0)</f>
        <v>1</v>
      </c>
      <c r="L146" s="18" t="str">
        <f aca="false">IF(NOT(ISBLANK(creatives!C147)),VLOOKUP(creatives!C147,data!$A$2:$B$705,2,0),"")</f>
        <v/>
      </c>
      <c r="M146" s="17" t="n">
        <f aca="false">IF(NOT(ISNUMBER(MATCH(L146,data!B$2:B$705,0))),1,0)</f>
        <v>1</v>
      </c>
      <c r="N146" s="19" t="b">
        <f aca="false">IF(NOT(A146),TRUE(),AND(A146,SUM(B146,C146,D146,E146,F146,G146,K146,M146,I146)=0))</f>
        <v>1</v>
      </c>
      <c r="O146" s="20" t="n">
        <v>145</v>
      </c>
      <c r="P146" s="19" t="b">
        <f aca="false">IF(A146,COUNTIF(A$2:A146, CONCATENATE("=", TRUE()))=O146, TRUE())</f>
        <v>1</v>
      </c>
      <c r="Q146" s="1" t="n">
        <f aca="false">IF(A146,O146,0)</f>
        <v>0</v>
      </c>
    </row>
    <row r="147" customFormat="false" ht="15.65" hidden="false" customHeight="false" outlineLevel="0" collapsed="false">
      <c r="A147" s="17" t="b">
        <f aca="false">COUNTIF(creatives!B148:J148, "*")&gt;0</f>
        <v>0</v>
      </c>
      <c r="B147" s="17" t="n">
        <f aca="false">IF(OR(NOT(ISTEXT(creatives!B148)), ISBLANK(creatives!B148), LEN(TRIM(creatives!B148))&gt;200), 1, 0)</f>
        <v>1</v>
      </c>
      <c r="C147" s="17" t="n">
        <f aca="false">IF(NOT(ISNUMBER(MATCH(creatives!D148,data!C$2:C$6,0))),1,0)</f>
        <v>1</v>
      </c>
      <c r="D147" s="17" t="n">
        <f aca="false">IF(OR(LEFT(creatives!G148,7)="http://",LEFT(creatives!G148,8)="https://"), 0, 1)</f>
        <v>1</v>
      </c>
      <c r="E147" s="17" t="n">
        <f aca="false">IF(OR(LEFT(creatives!H148,7)="http://",LEFT(creatives!H148,8)="https://"), 0, 1)</f>
        <v>1</v>
      </c>
      <c r="F147" s="17" t="n">
        <f aca="false">IF(NOT(ISNUMBER(MATCH(creatives!I148,data!G$2:G$6,0))),1,0)</f>
        <v>1</v>
      </c>
      <c r="G147" s="17" t="n">
        <f aca="false">IF(ISBLANK(creatives!J148), 1, 0)</f>
        <v>1</v>
      </c>
      <c r="H147" s="17" t="str">
        <f aca="false">IF(NOT(ISBLANK(creatives!F148)),VLOOKUP(creatives!F148,data!I$2:J$29,2,0),"")</f>
        <v/>
      </c>
      <c r="I147" s="17" t="n">
        <f aca="false">IF(AND(NOT(ISBLANK(creatives!F148)),NOT(ISNUMBER(MATCH(H147,data!J$2:J$29,0)))),1,0)</f>
        <v>0</v>
      </c>
      <c r="J147" s="17" t="str">
        <f aca="false">IF(NOT(ISBLANK(creatives!E148)),VLOOKUP(creatives!E148,data!M$2:N$38,2,0),"")</f>
        <v/>
      </c>
      <c r="K147" s="17" t="n">
        <f aca="false">IF(NOT(ISNUMBER(MATCH(J147,data!N$2:N$38,0))),1,0)</f>
        <v>1</v>
      </c>
      <c r="L147" s="18" t="str">
        <f aca="false">IF(NOT(ISBLANK(creatives!C148)),VLOOKUP(creatives!C148,data!$A$2:$B$705,2,0),"")</f>
        <v/>
      </c>
      <c r="M147" s="17" t="n">
        <f aca="false">IF(NOT(ISNUMBER(MATCH(L147,data!B$2:B$705,0))),1,0)</f>
        <v>1</v>
      </c>
      <c r="N147" s="19" t="b">
        <f aca="false">IF(NOT(A147),TRUE(),AND(A147,SUM(B147,C147,D147,E147,F147,G147,K147,M147,I147)=0))</f>
        <v>1</v>
      </c>
      <c r="O147" s="20" t="n">
        <v>146</v>
      </c>
      <c r="P147" s="19" t="b">
        <f aca="false">IF(A147,COUNTIF(A$2:A147, CONCATENATE("=", TRUE()))=O147, TRUE())</f>
        <v>1</v>
      </c>
      <c r="Q147" s="1" t="n">
        <f aca="false">IF(A147,O147,0)</f>
        <v>0</v>
      </c>
    </row>
    <row r="148" customFormat="false" ht="15.65" hidden="false" customHeight="false" outlineLevel="0" collapsed="false">
      <c r="A148" s="17" t="b">
        <f aca="false">COUNTIF(creatives!B149:J149, "*")&gt;0</f>
        <v>0</v>
      </c>
      <c r="B148" s="17" t="n">
        <f aca="false">IF(OR(NOT(ISTEXT(creatives!B149)), ISBLANK(creatives!B149), LEN(TRIM(creatives!B149))&gt;200), 1, 0)</f>
        <v>1</v>
      </c>
      <c r="C148" s="17" t="n">
        <f aca="false">IF(NOT(ISNUMBER(MATCH(creatives!D149,data!C$2:C$6,0))),1,0)</f>
        <v>1</v>
      </c>
      <c r="D148" s="17" t="n">
        <f aca="false">IF(OR(LEFT(creatives!G149,7)="http://",LEFT(creatives!G149,8)="https://"), 0, 1)</f>
        <v>1</v>
      </c>
      <c r="E148" s="17" t="n">
        <f aca="false">IF(OR(LEFT(creatives!H149,7)="http://",LEFT(creatives!H149,8)="https://"), 0, 1)</f>
        <v>1</v>
      </c>
      <c r="F148" s="17" t="n">
        <f aca="false">IF(NOT(ISNUMBER(MATCH(creatives!I149,data!G$2:G$6,0))),1,0)</f>
        <v>1</v>
      </c>
      <c r="G148" s="17" t="n">
        <f aca="false">IF(ISBLANK(creatives!J149), 1, 0)</f>
        <v>1</v>
      </c>
      <c r="H148" s="17" t="str">
        <f aca="false">IF(NOT(ISBLANK(creatives!F149)),VLOOKUP(creatives!F149,data!I$2:J$29,2,0),"")</f>
        <v/>
      </c>
      <c r="I148" s="17" t="n">
        <f aca="false">IF(AND(NOT(ISBLANK(creatives!F149)),NOT(ISNUMBER(MATCH(H148,data!J$2:J$29,0)))),1,0)</f>
        <v>0</v>
      </c>
      <c r="J148" s="17" t="str">
        <f aca="false">IF(NOT(ISBLANK(creatives!E149)),VLOOKUP(creatives!E149,data!M$2:N$38,2,0),"")</f>
        <v/>
      </c>
      <c r="K148" s="17" t="n">
        <f aca="false">IF(NOT(ISNUMBER(MATCH(J148,data!N$2:N$38,0))),1,0)</f>
        <v>1</v>
      </c>
      <c r="L148" s="18" t="str">
        <f aca="false">IF(NOT(ISBLANK(creatives!C149)),VLOOKUP(creatives!C149,data!$A$2:$B$705,2,0),"")</f>
        <v/>
      </c>
      <c r="M148" s="17" t="n">
        <f aca="false">IF(NOT(ISNUMBER(MATCH(L148,data!B$2:B$705,0))),1,0)</f>
        <v>1</v>
      </c>
      <c r="N148" s="19" t="b">
        <f aca="false">IF(NOT(A148),TRUE(),AND(A148,SUM(B148,C148,D148,E148,F148,G148,K148,M148,I148)=0))</f>
        <v>1</v>
      </c>
      <c r="O148" s="20" t="n">
        <v>147</v>
      </c>
      <c r="P148" s="19" t="b">
        <f aca="false">IF(A148,COUNTIF(A$2:A148, CONCATENATE("=", TRUE()))=O148, TRUE())</f>
        <v>1</v>
      </c>
      <c r="Q148" s="1" t="n">
        <f aca="false">IF(A148,O148,0)</f>
        <v>0</v>
      </c>
    </row>
    <row r="149" customFormat="false" ht="15.65" hidden="false" customHeight="false" outlineLevel="0" collapsed="false">
      <c r="A149" s="17" t="b">
        <f aca="false">COUNTIF(creatives!B150:J150, "*")&gt;0</f>
        <v>0</v>
      </c>
      <c r="B149" s="17" t="n">
        <f aca="false">IF(OR(NOT(ISTEXT(creatives!B150)), ISBLANK(creatives!B150), LEN(TRIM(creatives!B150))&gt;200), 1, 0)</f>
        <v>1</v>
      </c>
      <c r="C149" s="17" t="n">
        <f aca="false">IF(NOT(ISNUMBER(MATCH(creatives!D150,data!C$2:C$6,0))),1,0)</f>
        <v>1</v>
      </c>
      <c r="D149" s="17" t="n">
        <f aca="false">IF(OR(LEFT(creatives!G150,7)="http://",LEFT(creatives!G150,8)="https://"), 0, 1)</f>
        <v>1</v>
      </c>
      <c r="E149" s="17" t="n">
        <f aca="false">IF(OR(LEFT(creatives!H150,7)="http://",LEFT(creatives!H150,8)="https://"), 0, 1)</f>
        <v>1</v>
      </c>
      <c r="F149" s="17" t="n">
        <f aca="false">IF(NOT(ISNUMBER(MATCH(creatives!I150,data!G$2:G$6,0))),1,0)</f>
        <v>1</v>
      </c>
      <c r="G149" s="17" t="n">
        <f aca="false">IF(ISBLANK(creatives!J150), 1, 0)</f>
        <v>1</v>
      </c>
      <c r="H149" s="17" t="str">
        <f aca="false">IF(NOT(ISBLANK(creatives!F150)),VLOOKUP(creatives!F150,data!I$2:J$29,2,0),"")</f>
        <v/>
      </c>
      <c r="I149" s="17" t="n">
        <f aca="false">IF(AND(NOT(ISBLANK(creatives!F150)),NOT(ISNUMBER(MATCH(H149,data!J$2:J$29,0)))),1,0)</f>
        <v>0</v>
      </c>
      <c r="J149" s="17" t="str">
        <f aca="false">IF(NOT(ISBLANK(creatives!E150)),VLOOKUP(creatives!E150,data!M$2:N$38,2,0),"")</f>
        <v/>
      </c>
      <c r="K149" s="17" t="n">
        <f aca="false">IF(NOT(ISNUMBER(MATCH(J149,data!N$2:N$38,0))),1,0)</f>
        <v>1</v>
      </c>
      <c r="L149" s="18" t="str">
        <f aca="false">IF(NOT(ISBLANK(creatives!C150)),VLOOKUP(creatives!C150,data!$A$2:$B$705,2,0),"")</f>
        <v/>
      </c>
      <c r="M149" s="17" t="n">
        <f aca="false">IF(NOT(ISNUMBER(MATCH(L149,data!B$2:B$705,0))),1,0)</f>
        <v>1</v>
      </c>
      <c r="N149" s="19" t="b">
        <f aca="false">IF(NOT(A149),TRUE(),AND(A149,SUM(B149,C149,D149,E149,F149,G149,K149,M149,I149)=0))</f>
        <v>1</v>
      </c>
      <c r="O149" s="20" t="n">
        <v>148</v>
      </c>
      <c r="P149" s="19" t="b">
        <f aca="false">IF(A149,COUNTIF(A$2:A149, CONCATENATE("=", TRUE()))=O149, TRUE())</f>
        <v>1</v>
      </c>
      <c r="Q149" s="1" t="n">
        <f aca="false">IF(A149,O149,0)</f>
        <v>0</v>
      </c>
    </row>
    <row r="150" customFormat="false" ht="15.65" hidden="false" customHeight="false" outlineLevel="0" collapsed="false">
      <c r="A150" s="17" t="b">
        <f aca="false">COUNTIF(creatives!B151:J151, "*")&gt;0</f>
        <v>0</v>
      </c>
      <c r="B150" s="17" t="n">
        <f aca="false">IF(OR(NOT(ISTEXT(creatives!B151)), ISBLANK(creatives!B151), LEN(TRIM(creatives!B151))&gt;200), 1, 0)</f>
        <v>1</v>
      </c>
      <c r="C150" s="17" t="n">
        <f aca="false">IF(NOT(ISNUMBER(MATCH(creatives!D151,data!C$2:C$6,0))),1,0)</f>
        <v>1</v>
      </c>
      <c r="D150" s="17" t="n">
        <f aca="false">IF(OR(LEFT(creatives!G151,7)="http://",LEFT(creatives!G151,8)="https://"), 0, 1)</f>
        <v>1</v>
      </c>
      <c r="E150" s="17" t="n">
        <f aca="false">IF(OR(LEFT(creatives!H151,7)="http://",LEFT(creatives!H151,8)="https://"), 0, 1)</f>
        <v>1</v>
      </c>
      <c r="F150" s="17" t="n">
        <f aca="false">IF(NOT(ISNUMBER(MATCH(creatives!I151,data!G$2:G$6,0))),1,0)</f>
        <v>1</v>
      </c>
      <c r="G150" s="17" t="n">
        <f aca="false">IF(ISBLANK(creatives!J151), 1, 0)</f>
        <v>1</v>
      </c>
      <c r="H150" s="17" t="str">
        <f aca="false">IF(NOT(ISBLANK(creatives!F151)),VLOOKUP(creatives!F151,data!I$2:J$29,2,0),"")</f>
        <v/>
      </c>
      <c r="I150" s="17" t="n">
        <f aca="false">IF(AND(NOT(ISBLANK(creatives!F151)),NOT(ISNUMBER(MATCH(H150,data!J$2:J$29,0)))),1,0)</f>
        <v>0</v>
      </c>
      <c r="J150" s="17" t="str">
        <f aca="false">IF(NOT(ISBLANK(creatives!E151)),VLOOKUP(creatives!E151,data!M$2:N$38,2,0),"")</f>
        <v/>
      </c>
      <c r="K150" s="17" t="n">
        <f aca="false">IF(NOT(ISNUMBER(MATCH(J150,data!N$2:N$38,0))),1,0)</f>
        <v>1</v>
      </c>
      <c r="L150" s="18" t="str">
        <f aca="false">IF(NOT(ISBLANK(creatives!C151)),VLOOKUP(creatives!C151,data!$A$2:$B$705,2,0),"")</f>
        <v/>
      </c>
      <c r="M150" s="17" t="n">
        <f aca="false">IF(NOT(ISNUMBER(MATCH(L150,data!B$2:B$705,0))),1,0)</f>
        <v>1</v>
      </c>
      <c r="N150" s="19" t="b">
        <f aca="false">IF(NOT(A150),TRUE(),AND(A150,SUM(B150,C150,D150,E150,F150,G150,K150,M150,I150)=0))</f>
        <v>1</v>
      </c>
      <c r="O150" s="20" t="n">
        <v>149</v>
      </c>
      <c r="P150" s="19" t="b">
        <f aca="false">IF(A150,COUNTIF(A$2:A150, CONCATENATE("=", TRUE()))=O150, TRUE())</f>
        <v>1</v>
      </c>
      <c r="Q150" s="1" t="n">
        <f aca="false">IF(A150,O150,0)</f>
        <v>0</v>
      </c>
    </row>
    <row r="151" customFormat="false" ht="15.65" hidden="false" customHeight="false" outlineLevel="0" collapsed="false">
      <c r="A151" s="17" t="b">
        <f aca="false">COUNTIF(creatives!B152:J152, "*")&gt;0</f>
        <v>0</v>
      </c>
      <c r="B151" s="17" t="n">
        <f aca="false">IF(OR(NOT(ISTEXT(creatives!B152)), ISBLANK(creatives!B152), LEN(TRIM(creatives!B152))&gt;200), 1, 0)</f>
        <v>1</v>
      </c>
      <c r="C151" s="17" t="n">
        <f aca="false">IF(NOT(ISNUMBER(MATCH(creatives!D152,data!C$2:C$6,0))),1,0)</f>
        <v>1</v>
      </c>
      <c r="D151" s="17" t="n">
        <f aca="false">IF(OR(LEFT(creatives!G152,7)="http://",LEFT(creatives!G152,8)="https://"), 0, 1)</f>
        <v>1</v>
      </c>
      <c r="E151" s="17" t="n">
        <f aca="false">IF(OR(LEFT(creatives!H152,7)="http://",LEFT(creatives!H152,8)="https://"), 0, 1)</f>
        <v>1</v>
      </c>
      <c r="F151" s="17" t="n">
        <f aca="false">IF(NOT(ISNUMBER(MATCH(creatives!I152,data!G$2:G$6,0))),1,0)</f>
        <v>1</v>
      </c>
      <c r="G151" s="17" t="n">
        <f aca="false">IF(ISBLANK(creatives!J152), 1, 0)</f>
        <v>1</v>
      </c>
      <c r="H151" s="17" t="str">
        <f aca="false">IF(NOT(ISBLANK(creatives!F152)),VLOOKUP(creatives!F152,data!I$2:J$29,2,0),"")</f>
        <v/>
      </c>
      <c r="I151" s="17" t="n">
        <f aca="false">IF(AND(NOT(ISBLANK(creatives!F152)),NOT(ISNUMBER(MATCH(H151,data!J$2:J$29,0)))),1,0)</f>
        <v>0</v>
      </c>
      <c r="J151" s="17" t="str">
        <f aca="false">IF(NOT(ISBLANK(creatives!E152)),VLOOKUP(creatives!E152,data!M$2:N$38,2,0),"")</f>
        <v/>
      </c>
      <c r="K151" s="17" t="n">
        <f aca="false">IF(NOT(ISNUMBER(MATCH(J151,data!N$2:N$38,0))),1,0)</f>
        <v>1</v>
      </c>
      <c r="L151" s="18" t="str">
        <f aca="false">IF(NOT(ISBLANK(creatives!C152)),VLOOKUP(creatives!C152,data!$A$2:$B$705,2,0),"")</f>
        <v/>
      </c>
      <c r="M151" s="17" t="n">
        <f aca="false">IF(NOT(ISNUMBER(MATCH(L151,data!B$2:B$705,0))),1,0)</f>
        <v>1</v>
      </c>
      <c r="N151" s="19" t="b">
        <f aca="false">IF(NOT(A151),TRUE(),AND(A151,SUM(B151,C151,D151,E151,F151,G151,K151,M151,I151)=0))</f>
        <v>1</v>
      </c>
      <c r="O151" s="20" t="n">
        <v>150</v>
      </c>
      <c r="P151" s="19" t="b">
        <f aca="false">IF(A151,COUNTIF(A$2:A151, CONCATENATE("=", TRUE()))=O151, TRUE())</f>
        <v>1</v>
      </c>
      <c r="Q151" s="1" t="n">
        <f aca="false">IF(A151,O151,0)</f>
        <v>0</v>
      </c>
    </row>
    <row r="152" customFormat="false" ht="15.65" hidden="false" customHeight="false" outlineLevel="0" collapsed="false">
      <c r="A152" s="17" t="b">
        <f aca="false">COUNTIF(creatives!B153:J153, "*")&gt;0</f>
        <v>0</v>
      </c>
      <c r="B152" s="17" t="n">
        <f aca="false">IF(OR(NOT(ISTEXT(creatives!B153)), ISBLANK(creatives!B153), LEN(TRIM(creatives!B153))&gt;200), 1, 0)</f>
        <v>1</v>
      </c>
      <c r="C152" s="17" t="n">
        <f aca="false">IF(NOT(ISNUMBER(MATCH(creatives!D153,data!C$2:C$6,0))),1,0)</f>
        <v>1</v>
      </c>
      <c r="D152" s="17" t="n">
        <f aca="false">IF(OR(LEFT(creatives!G153,7)="http://",LEFT(creatives!G153,8)="https://"), 0, 1)</f>
        <v>1</v>
      </c>
      <c r="E152" s="17" t="n">
        <f aca="false">IF(OR(LEFT(creatives!H153,7)="http://",LEFT(creatives!H153,8)="https://"), 0, 1)</f>
        <v>1</v>
      </c>
      <c r="F152" s="17" t="n">
        <f aca="false">IF(NOT(ISNUMBER(MATCH(creatives!I153,data!G$2:G$6,0))),1,0)</f>
        <v>1</v>
      </c>
      <c r="G152" s="17" t="n">
        <f aca="false">IF(ISBLANK(creatives!J153), 1, 0)</f>
        <v>1</v>
      </c>
      <c r="H152" s="17" t="str">
        <f aca="false">IF(NOT(ISBLANK(creatives!F153)),VLOOKUP(creatives!F153,data!I$2:J$29,2,0),"")</f>
        <v/>
      </c>
      <c r="I152" s="17" t="n">
        <f aca="false">IF(AND(NOT(ISBLANK(creatives!F153)),NOT(ISNUMBER(MATCH(H152,data!J$2:J$29,0)))),1,0)</f>
        <v>0</v>
      </c>
      <c r="J152" s="17" t="str">
        <f aca="false">IF(NOT(ISBLANK(creatives!E153)),VLOOKUP(creatives!E153,data!M$2:N$38,2,0),"")</f>
        <v/>
      </c>
      <c r="K152" s="17" t="n">
        <f aca="false">IF(NOT(ISNUMBER(MATCH(J152,data!N$2:N$38,0))),1,0)</f>
        <v>1</v>
      </c>
      <c r="L152" s="18" t="str">
        <f aca="false">IF(NOT(ISBLANK(creatives!C153)),VLOOKUP(creatives!C153,data!$A$2:$B$705,2,0),"")</f>
        <v/>
      </c>
      <c r="M152" s="17" t="n">
        <f aca="false">IF(NOT(ISNUMBER(MATCH(L152,data!B$2:B$705,0))),1,0)</f>
        <v>1</v>
      </c>
      <c r="N152" s="19" t="b">
        <f aca="false">IF(NOT(A152),TRUE(),AND(A152,SUM(B152,C152,D152,E152,F152,G152,K152,M152,I152)=0))</f>
        <v>1</v>
      </c>
      <c r="O152" s="20" t="n">
        <v>151</v>
      </c>
      <c r="P152" s="19" t="b">
        <f aca="false">IF(A152,COUNTIF(A$2:A152, CONCATENATE("=", TRUE()))=O152, TRUE())</f>
        <v>1</v>
      </c>
      <c r="Q152" s="1" t="n">
        <f aca="false">IF(A152,O152,0)</f>
        <v>0</v>
      </c>
    </row>
    <row r="153" customFormat="false" ht="15.65" hidden="false" customHeight="false" outlineLevel="0" collapsed="false">
      <c r="A153" s="17" t="b">
        <f aca="false">COUNTIF(creatives!B154:J154, "*")&gt;0</f>
        <v>0</v>
      </c>
      <c r="B153" s="17" t="n">
        <f aca="false">IF(OR(NOT(ISTEXT(creatives!B154)), ISBLANK(creatives!B154), LEN(TRIM(creatives!B154))&gt;200), 1, 0)</f>
        <v>1</v>
      </c>
      <c r="C153" s="17" t="n">
        <f aca="false">IF(NOT(ISNUMBER(MATCH(creatives!D154,data!C$2:C$6,0))),1,0)</f>
        <v>1</v>
      </c>
      <c r="D153" s="17" t="n">
        <f aca="false">IF(OR(LEFT(creatives!G154,7)="http://",LEFT(creatives!G154,8)="https://"), 0, 1)</f>
        <v>1</v>
      </c>
      <c r="E153" s="17" t="n">
        <f aca="false">IF(OR(LEFT(creatives!H154,7)="http://",LEFT(creatives!H154,8)="https://"), 0, 1)</f>
        <v>1</v>
      </c>
      <c r="F153" s="17" t="n">
        <f aca="false">IF(NOT(ISNUMBER(MATCH(creatives!I154,data!G$2:G$6,0))),1,0)</f>
        <v>1</v>
      </c>
      <c r="G153" s="17" t="n">
        <f aca="false">IF(ISBLANK(creatives!J154), 1, 0)</f>
        <v>1</v>
      </c>
      <c r="H153" s="17" t="str">
        <f aca="false">IF(NOT(ISBLANK(creatives!F154)),VLOOKUP(creatives!F154,data!I$2:J$29,2,0),"")</f>
        <v/>
      </c>
      <c r="I153" s="17" t="n">
        <f aca="false">IF(AND(NOT(ISBLANK(creatives!F154)),NOT(ISNUMBER(MATCH(H153,data!J$2:J$29,0)))),1,0)</f>
        <v>0</v>
      </c>
      <c r="J153" s="17" t="str">
        <f aca="false">IF(NOT(ISBLANK(creatives!E154)),VLOOKUP(creatives!E154,data!M$2:N$38,2,0),"")</f>
        <v/>
      </c>
      <c r="K153" s="17" t="n">
        <f aca="false">IF(NOT(ISNUMBER(MATCH(J153,data!N$2:N$38,0))),1,0)</f>
        <v>1</v>
      </c>
      <c r="L153" s="18" t="str">
        <f aca="false">IF(NOT(ISBLANK(creatives!C154)),VLOOKUP(creatives!C154,data!$A$2:$B$705,2,0),"")</f>
        <v/>
      </c>
      <c r="M153" s="17" t="n">
        <f aca="false">IF(NOT(ISNUMBER(MATCH(L153,data!B$2:B$705,0))),1,0)</f>
        <v>1</v>
      </c>
      <c r="N153" s="19" t="b">
        <f aca="false">IF(NOT(A153),TRUE(),AND(A153,SUM(B153,C153,D153,E153,F153,G153,K153,M153,I153)=0))</f>
        <v>1</v>
      </c>
      <c r="O153" s="20" t="n">
        <v>152</v>
      </c>
      <c r="P153" s="19" t="b">
        <f aca="false">IF(A153,COUNTIF(A$2:A153, CONCATENATE("=", TRUE()))=O153, TRUE())</f>
        <v>1</v>
      </c>
      <c r="Q153" s="1" t="n">
        <f aca="false">IF(A153,O153,0)</f>
        <v>0</v>
      </c>
    </row>
    <row r="154" customFormat="false" ht="15.65" hidden="false" customHeight="false" outlineLevel="0" collapsed="false">
      <c r="A154" s="17" t="b">
        <f aca="false">COUNTIF(creatives!B155:J155, "*")&gt;0</f>
        <v>0</v>
      </c>
      <c r="B154" s="17" t="n">
        <f aca="false">IF(OR(NOT(ISTEXT(creatives!B155)), ISBLANK(creatives!B155), LEN(TRIM(creatives!B155))&gt;200), 1, 0)</f>
        <v>1</v>
      </c>
      <c r="C154" s="17" t="n">
        <f aca="false">IF(NOT(ISNUMBER(MATCH(creatives!D155,data!C$2:C$6,0))),1,0)</f>
        <v>1</v>
      </c>
      <c r="D154" s="17" t="n">
        <f aca="false">IF(OR(LEFT(creatives!G155,7)="http://",LEFT(creatives!G155,8)="https://"), 0, 1)</f>
        <v>1</v>
      </c>
      <c r="E154" s="17" t="n">
        <f aca="false">IF(OR(LEFT(creatives!H155,7)="http://",LEFT(creatives!H155,8)="https://"), 0, 1)</f>
        <v>1</v>
      </c>
      <c r="F154" s="17" t="n">
        <f aca="false">IF(NOT(ISNUMBER(MATCH(creatives!I155,data!G$2:G$6,0))),1,0)</f>
        <v>1</v>
      </c>
      <c r="G154" s="17" t="n">
        <f aca="false">IF(ISBLANK(creatives!J155), 1, 0)</f>
        <v>1</v>
      </c>
      <c r="H154" s="17" t="str">
        <f aca="false">IF(NOT(ISBLANK(creatives!F155)),VLOOKUP(creatives!F155,data!I$2:J$29,2,0),"")</f>
        <v/>
      </c>
      <c r="I154" s="17" t="n">
        <f aca="false">IF(AND(NOT(ISBLANK(creatives!F155)),NOT(ISNUMBER(MATCH(H154,data!J$2:J$29,0)))),1,0)</f>
        <v>0</v>
      </c>
      <c r="J154" s="17" t="str">
        <f aca="false">IF(NOT(ISBLANK(creatives!E155)),VLOOKUP(creatives!E155,data!M$2:N$38,2,0),"")</f>
        <v/>
      </c>
      <c r="K154" s="17" t="n">
        <f aca="false">IF(NOT(ISNUMBER(MATCH(J154,data!N$2:N$38,0))),1,0)</f>
        <v>1</v>
      </c>
      <c r="L154" s="18" t="str">
        <f aca="false">IF(NOT(ISBLANK(creatives!C155)),VLOOKUP(creatives!C155,data!$A$2:$B$705,2,0),"")</f>
        <v/>
      </c>
      <c r="M154" s="17" t="n">
        <f aca="false">IF(NOT(ISNUMBER(MATCH(L154,data!B$2:B$705,0))),1,0)</f>
        <v>1</v>
      </c>
      <c r="N154" s="19" t="b">
        <f aca="false">IF(NOT(A154),TRUE(),AND(A154,SUM(B154,C154,D154,E154,F154,G154,K154,M154,I154)=0))</f>
        <v>1</v>
      </c>
      <c r="O154" s="20" t="n">
        <v>153</v>
      </c>
      <c r="P154" s="19" t="b">
        <f aca="false">IF(A154,COUNTIF(A$2:A154, CONCATENATE("=", TRUE()))=O154, TRUE())</f>
        <v>1</v>
      </c>
      <c r="Q154" s="1" t="n">
        <f aca="false">IF(A154,O154,0)</f>
        <v>0</v>
      </c>
    </row>
    <row r="155" customFormat="false" ht="15.65" hidden="false" customHeight="false" outlineLevel="0" collapsed="false">
      <c r="A155" s="17" t="b">
        <f aca="false">COUNTIF(creatives!B156:J156, "*")&gt;0</f>
        <v>0</v>
      </c>
      <c r="B155" s="17" t="n">
        <f aca="false">IF(OR(NOT(ISTEXT(creatives!B156)), ISBLANK(creatives!B156), LEN(TRIM(creatives!B156))&gt;200), 1, 0)</f>
        <v>1</v>
      </c>
      <c r="C155" s="17" t="n">
        <f aca="false">IF(NOT(ISNUMBER(MATCH(creatives!D156,data!C$2:C$6,0))),1,0)</f>
        <v>1</v>
      </c>
      <c r="D155" s="17" t="n">
        <f aca="false">IF(OR(LEFT(creatives!G156,7)="http://",LEFT(creatives!G156,8)="https://"), 0, 1)</f>
        <v>1</v>
      </c>
      <c r="E155" s="17" t="n">
        <f aca="false">IF(OR(LEFT(creatives!H156,7)="http://",LEFT(creatives!H156,8)="https://"), 0, 1)</f>
        <v>1</v>
      </c>
      <c r="F155" s="17" t="n">
        <f aca="false">IF(NOT(ISNUMBER(MATCH(creatives!I156,data!G$2:G$6,0))),1,0)</f>
        <v>1</v>
      </c>
      <c r="G155" s="17" t="n">
        <f aca="false">IF(ISBLANK(creatives!J156), 1, 0)</f>
        <v>1</v>
      </c>
      <c r="H155" s="17" t="str">
        <f aca="false">IF(NOT(ISBLANK(creatives!F156)),VLOOKUP(creatives!F156,data!I$2:J$29,2,0),"")</f>
        <v/>
      </c>
      <c r="I155" s="17" t="n">
        <f aca="false">IF(AND(NOT(ISBLANK(creatives!F156)),NOT(ISNUMBER(MATCH(H155,data!J$2:J$29,0)))),1,0)</f>
        <v>0</v>
      </c>
      <c r="J155" s="17" t="str">
        <f aca="false">IF(NOT(ISBLANK(creatives!E156)),VLOOKUP(creatives!E156,data!M$2:N$38,2,0),"")</f>
        <v/>
      </c>
      <c r="K155" s="17" t="n">
        <f aca="false">IF(NOT(ISNUMBER(MATCH(J155,data!N$2:N$38,0))),1,0)</f>
        <v>1</v>
      </c>
      <c r="L155" s="18" t="str">
        <f aca="false">IF(NOT(ISBLANK(creatives!C156)),VLOOKUP(creatives!C156,data!$A$2:$B$705,2,0),"")</f>
        <v/>
      </c>
      <c r="M155" s="17" t="n">
        <f aca="false">IF(NOT(ISNUMBER(MATCH(L155,data!B$2:B$705,0))),1,0)</f>
        <v>1</v>
      </c>
      <c r="N155" s="19" t="b">
        <f aca="false">IF(NOT(A155),TRUE(),AND(A155,SUM(B155,C155,D155,E155,F155,G155,K155,M155,I155)=0))</f>
        <v>1</v>
      </c>
      <c r="O155" s="20" t="n">
        <v>154</v>
      </c>
      <c r="P155" s="19" t="b">
        <f aca="false">IF(A155,COUNTIF(A$2:A155, CONCATENATE("=", TRUE()))=O155, TRUE())</f>
        <v>1</v>
      </c>
      <c r="Q155" s="1" t="n">
        <f aca="false">IF(A155,O155,0)</f>
        <v>0</v>
      </c>
    </row>
    <row r="156" customFormat="false" ht="15.65" hidden="false" customHeight="false" outlineLevel="0" collapsed="false">
      <c r="A156" s="17" t="b">
        <f aca="false">COUNTIF(creatives!B157:J157, "*")&gt;0</f>
        <v>0</v>
      </c>
      <c r="B156" s="17" t="n">
        <f aca="false">IF(OR(NOT(ISTEXT(creatives!B157)), ISBLANK(creatives!B157), LEN(TRIM(creatives!B157))&gt;200), 1, 0)</f>
        <v>1</v>
      </c>
      <c r="C156" s="17" t="n">
        <f aca="false">IF(NOT(ISNUMBER(MATCH(creatives!D157,data!C$2:C$6,0))),1,0)</f>
        <v>1</v>
      </c>
      <c r="D156" s="17" t="n">
        <f aca="false">IF(OR(LEFT(creatives!G157,7)="http://",LEFT(creatives!G157,8)="https://"), 0, 1)</f>
        <v>1</v>
      </c>
      <c r="E156" s="17" t="n">
        <f aca="false">IF(OR(LEFT(creatives!H157,7)="http://",LEFT(creatives!H157,8)="https://"), 0, 1)</f>
        <v>1</v>
      </c>
      <c r="F156" s="17" t="n">
        <f aca="false">IF(NOT(ISNUMBER(MATCH(creatives!I157,data!G$2:G$6,0))),1,0)</f>
        <v>1</v>
      </c>
      <c r="G156" s="17" t="n">
        <f aca="false">IF(ISBLANK(creatives!J157), 1, 0)</f>
        <v>1</v>
      </c>
      <c r="H156" s="17" t="str">
        <f aca="false">IF(NOT(ISBLANK(creatives!F157)),VLOOKUP(creatives!F157,data!I$2:J$29,2,0),"")</f>
        <v/>
      </c>
      <c r="I156" s="17" t="n">
        <f aca="false">IF(AND(NOT(ISBLANK(creatives!F157)),NOT(ISNUMBER(MATCH(H156,data!J$2:J$29,0)))),1,0)</f>
        <v>0</v>
      </c>
      <c r="J156" s="17" t="str">
        <f aca="false">IF(NOT(ISBLANK(creatives!E157)),VLOOKUP(creatives!E157,data!M$2:N$38,2,0),"")</f>
        <v/>
      </c>
      <c r="K156" s="17" t="n">
        <f aca="false">IF(NOT(ISNUMBER(MATCH(J156,data!N$2:N$38,0))),1,0)</f>
        <v>1</v>
      </c>
      <c r="L156" s="18" t="str">
        <f aca="false">IF(NOT(ISBLANK(creatives!C157)),VLOOKUP(creatives!C157,data!$A$2:$B$705,2,0),"")</f>
        <v/>
      </c>
      <c r="M156" s="17" t="n">
        <f aca="false">IF(NOT(ISNUMBER(MATCH(L156,data!B$2:B$705,0))),1,0)</f>
        <v>1</v>
      </c>
      <c r="N156" s="19" t="b">
        <f aca="false">IF(NOT(A156),TRUE(),AND(A156,SUM(B156,C156,D156,E156,F156,G156,K156,M156,I156)=0))</f>
        <v>1</v>
      </c>
      <c r="O156" s="20" t="n">
        <v>155</v>
      </c>
      <c r="P156" s="19" t="b">
        <f aca="false">IF(A156,COUNTIF(A$2:A156, CONCATENATE("=", TRUE()))=O156, TRUE())</f>
        <v>1</v>
      </c>
      <c r="Q156" s="1" t="n">
        <f aca="false">IF(A156,O156,0)</f>
        <v>0</v>
      </c>
    </row>
    <row r="157" customFormat="false" ht="15.65" hidden="false" customHeight="false" outlineLevel="0" collapsed="false">
      <c r="A157" s="17" t="b">
        <f aca="false">COUNTIF(creatives!B158:J158, "*")&gt;0</f>
        <v>0</v>
      </c>
      <c r="B157" s="17" t="n">
        <f aca="false">IF(OR(NOT(ISTEXT(creatives!B158)), ISBLANK(creatives!B158), LEN(TRIM(creatives!B158))&gt;200), 1, 0)</f>
        <v>1</v>
      </c>
      <c r="C157" s="17" t="n">
        <f aca="false">IF(NOT(ISNUMBER(MATCH(creatives!D158,data!C$2:C$6,0))),1,0)</f>
        <v>1</v>
      </c>
      <c r="D157" s="17" t="n">
        <f aca="false">IF(OR(LEFT(creatives!G158,7)="http://",LEFT(creatives!G158,8)="https://"), 0, 1)</f>
        <v>1</v>
      </c>
      <c r="E157" s="17" t="n">
        <f aca="false">IF(OR(LEFT(creatives!H158,7)="http://",LEFT(creatives!H158,8)="https://"), 0, 1)</f>
        <v>1</v>
      </c>
      <c r="F157" s="17" t="n">
        <f aca="false">IF(NOT(ISNUMBER(MATCH(creatives!I158,data!G$2:G$6,0))),1,0)</f>
        <v>1</v>
      </c>
      <c r="G157" s="17" t="n">
        <f aca="false">IF(ISBLANK(creatives!J158), 1, 0)</f>
        <v>1</v>
      </c>
      <c r="H157" s="17" t="str">
        <f aca="false">IF(NOT(ISBLANK(creatives!F158)),VLOOKUP(creatives!F158,data!I$2:J$29,2,0),"")</f>
        <v/>
      </c>
      <c r="I157" s="17" t="n">
        <f aca="false">IF(AND(NOT(ISBLANK(creatives!F158)),NOT(ISNUMBER(MATCH(H157,data!J$2:J$29,0)))),1,0)</f>
        <v>0</v>
      </c>
      <c r="J157" s="17" t="str">
        <f aca="false">IF(NOT(ISBLANK(creatives!E158)),VLOOKUP(creatives!E158,data!M$2:N$38,2,0),"")</f>
        <v/>
      </c>
      <c r="K157" s="17" t="n">
        <f aca="false">IF(NOT(ISNUMBER(MATCH(J157,data!N$2:N$38,0))),1,0)</f>
        <v>1</v>
      </c>
      <c r="L157" s="18" t="str">
        <f aca="false">IF(NOT(ISBLANK(creatives!C158)),VLOOKUP(creatives!C158,data!$A$2:$B$705,2,0),"")</f>
        <v/>
      </c>
      <c r="M157" s="17" t="n">
        <f aca="false">IF(NOT(ISNUMBER(MATCH(L157,data!B$2:B$705,0))),1,0)</f>
        <v>1</v>
      </c>
      <c r="N157" s="19" t="b">
        <f aca="false">IF(NOT(A157),TRUE(),AND(A157,SUM(B157,C157,D157,E157,F157,G157,K157,M157,I157)=0))</f>
        <v>1</v>
      </c>
      <c r="O157" s="20" t="n">
        <v>156</v>
      </c>
      <c r="P157" s="19" t="b">
        <f aca="false">IF(A157,COUNTIF(A$2:A157, CONCATENATE("=", TRUE()))=O157, TRUE())</f>
        <v>1</v>
      </c>
      <c r="Q157" s="1" t="n">
        <f aca="false">IF(A157,O157,0)</f>
        <v>0</v>
      </c>
    </row>
    <row r="158" customFormat="false" ht="15.65" hidden="false" customHeight="false" outlineLevel="0" collapsed="false">
      <c r="A158" s="17" t="b">
        <f aca="false">COUNTIF(creatives!B159:J159, "*")&gt;0</f>
        <v>0</v>
      </c>
      <c r="B158" s="17" t="n">
        <f aca="false">IF(OR(NOT(ISTEXT(creatives!B159)), ISBLANK(creatives!B159), LEN(TRIM(creatives!B159))&gt;200), 1, 0)</f>
        <v>1</v>
      </c>
      <c r="C158" s="17" t="n">
        <f aca="false">IF(NOT(ISNUMBER(MATCH(creatives!D159,data!C$2:C$6,0))),1,0)</f>
        <v>1</v>
      </c>
      <c r="D158" s="17" t="n">
        <f aca="false">IF(OR(LEFT(creatives!G159,7)="http://",LEFT(creatives!G159,8)="https://"), 0, 1)</f>
        <v>1</v>
      </c>
      <c r="E158" s="17" t="n">
        <f aca="false">IF(OR(LEFT(creatives!H159,7)="http://",LEFT(creatives!H159,8)="https://"), 0, 1)</f>
        <v>1</v>
      </c>
      <c r="F158" s="17" t="n">
        <f aca="false">IF(NOT(ISNUMBER(MATCH(creatives!I159,data!G$2:G$6,0))),1,0)</f>
        <v>1</v>
      </c>
      <c r="G158" s="17" t="n">
        <f aca="false">IF(ISBLANK(creatives!J159), 1, 0)</f>
        <v>1</v>
      </c>
      <c r="H158" s="17" t="str">
        <f aca="false">IF(NOT(ISBLANK(creatives!F159)),VLOOKUP(creatives!F159,data!I$2:J$29,2,0),"")</f>
        <v/>
      </c>
      <c r="I158" s="17" t="n">
        <f aca="false">IF(AND(NOT(ISBLANK(creatives!F159)),NOT(ISNUMBER(MATCH(H158,data!J$2:J$29,0)))),1,0)</f>
        <v>0</v>
      </c>
      <c r="J158" s="17" t="str">
        <f aca="false">IF(NOT(ISBLANK(creatives!E159)),VLOOKUP(creatives!E159,data!M$2:N$38,2,0),"")</f>
        <v/>
      </c>
      <c r="K158" s="17" t="n">
        <f aca="false">IF(NOT(ISNUMBER(MATCH(J158,data!N$2:N$38,0))),1,0)</f>
        <v>1</v>
      </c>
      <c r="L158" s="18" t="str">
        <f aca="false">IF(NOT(ISBLANK(creatives!C159)),VLOOKUP(creatives!C159,data!$A$2:$B$705,2,0),"")</f>
        <v/>
      </c>
      <c r="M158" s="17" t="n">
        <f aca="false">IF(NOT(ISNUMBER(MATCH(L158,data!B$2:B$705,0))),1,0)</f>
        <v>1</v>
      </c>
      <c r="N158" s="19" t="b">
        <f aca="false">IF(NOT(A158),TRUE(),AND(A158,SUM(B158,C158,D158,E158,F158,G158,K158,M158,I158)=0))</f>
        <v>1</v>
      </c>
      <c r="O158" s="20" t="n">
        <v>157</v>
      </c>
      <c r="P158" s="19" t="b">
        <f aca="false">IF(A158,COUNTIF(A$2:A158, CONCATENATE("=", TRUE()))=O158, TRUE())</f>
        <v>1</v>
      </c>
      <c r="Q158" s="1" t="n">
        <f aca="false">IF(A158,O158,0)</f>
        <v>0</v>
      </c>
    </row>
    <row r="159" customFormat="false" ht="15.65" hidden="false" customHeight="false" outlineLevel="0" collapsed="false">
      <c r="A159" s="17" t="b">
        <f aca="false">COUNTIF(creatives!B160:J160, "*")&gt;0</f>
        <v>0</v>
      </c>
      <c r="B159" s="17" t="n">
        <f aca="false">IF(OR(NOT(ISTEXT(creatives!B160)), ISBLANK(creatives!B160), LEN(TRIM(creatives!B160))&gt;200), 1, 0)</f>
        <v>1</v>
      </c>
      <c r="C159" s="17" t="n">
        <f aca="false">IF(NOT(ISNUMBER(MATCH(creatives!D160,data!C$2:C$6,0))),1,0)</f>
        <v>1</v>
      </c>
      <c r="D159" s="17" t="n">
        <f aca="false">IF(OR(LEFT(creatives!G160,7)="http://",LEFT(creatives!G160,8)="https://"), 0, 1)</f>
        <v>1</v>
      </c>
      <c r="E159" s="17" t="n">
        <f aca="false">IF(OR(LEFT(creatives!H160,7)="http://",LEFT(creatives!H160,8)="https://"), 0, 1)</f>
        <v>1</v>
      </c>
      <c r="F159" s="17" t="n">
        <f aca="false">IF(NOT(ISNUMBER(MATCH(creatives!I160,data!G$2:G$6,0))),1,0)</f>
        <v>1</v>
      </c>
      <c r="G159" s="17" t="n">
        <f aca="false">IF(ISBLANK(creatives!J160), 1, 0)</f>
        <v>1</v>
      </c>
      <c r="H159" s="17" t="str">
        <f aca="false">IF(NOT(ISBLANK(creatives!F160)),VLOOKUP(creatives!F160,data!I$2:J$29,2,0),"")</f>
        <v/>
      </c>
      <c r="I159" s="17" t="n">
        <f aca="false">IF(AND(NOT(ISBLANK(creatives!F160)),NOT(ISNUMBER(MATCH(H159,data!J$2:J$29,0)))),1,0)</f>
        <v>0</v>
      </c>
      <c r="J159" s="17" t="str">
        <f aca="false">IF(NOT(ISBLANK(creatives!E160)),VLOOKUP(creatives!E160,data!M$2:N$38,2,0),"")</f>
        <v/>
      </c>
      <c r="K159" s="17" t="n">
        <f aca="false">IF(NOT(ISNUMBER(MATCH(J159,data!N$2:N$38,0))),1,0)</f>
        <v>1</v>
      </c>
      <c r="L159" s="18" t="str">
        <f aca="false">IF(NOT(ISBLANK(creatives!C160)),VLOOKUP(creatives!C160,data!$A$2:$B$705,2,0),"")</f>
        <v/>
      </c>
      <c r="M159" s="17" t="n">
        <f aca="false">IF(NOT(ISNUMBER(MATCH(L159,data!B$2:B$705,0))),1,0)</f>
        <v>1</v>
      </c>
      <c r="N159" s="19" t="b">
        <f aca="false">IF(NOT(A159),TRUE(),AND(A159,SUM(B159,C159,D159,E159,F159,G159,K159,M159,I159)=0))</f>
        <v>1</v>
      </c>
      <c r="O159" s="20" t="n">
        <v>158</v>
      </c>
      <c r="P159" s="19" t="b">
        <f aca="false">IF(A159,COUNTIF(A$2:A159, CONCATENATE("=", TRUE()))=O159, TRUE())</f>
        <v>1</v>
      </c>
      <c r="Q159" s="1" t="n">
        <f aca="false">IF(A159,O159,0)</f>
        <v>0</v>
      </c>
    </row>
    <row r="160" customFormat="false" ht="15.65" hidden="false" customHeight="false" outlineLevel="0" collapsed="false">
      <c r="A160" s="17" t="b">
        <f aca="false">COUNTIF(creatives!B161:J161, "*")&gt;0</f>
        <v>0</v>
      </c>
      <c r="B160" s="17" t="n">
        <f aca="false">IF(OR(NOT(ISTEXT(creatives!B161)), ISBLANK(creatives!B161), LEN(TRIM(creatives!B161))&gt;200), 1, 0)</f>
        <v>1</v>
      </c>
      <c r="C160" s="17" t="n">
        <f aca="false">IF(NOT(ISNUMBER(MATCH(creatives!D161,data!C$2:C$6,0))),1,0)</f>
        <v>1</v>
      </c>
      <c r="D160" s="17" t="n">
        <f aca="false">IF(OR(LEFT(creatives!G161,7)="http://",LEFT(creatives!G161,8)="https://"), 0, 1)</f>
        <v>1</v>
      </c>
      <c r="E160" s="17" t="n">
        <f aca="false">IF(OR(LEFT(creatives!H161,7)="http://",LEFT(creatives!H161,8)="https://"), 0, 1)</f>
        <v>1</v>
      </c>
      <c r="F160" s="17" t="n">
        <f aca="false">IF(NOT(ISNUMBER(MATCH(creatives!I161,data!G$2:G$6,0))),1,0)</f>
        <v>1</v>
      </c>
      <c r="G160" s="17" t="n">
        <f aca="false">IF(ISBLANK(creatives!J161), 1, 0)</f>
        <v>1</v>
      </c>
      <c r="H160" s="17" t="str">
        <f aca="false">IF(NOT(ISBLANK(creatives!F161)),VLOOKUP(creatives!F161,data!I$2:J$29,2,0),"")</f>
        <v/>
      </c>
      <c r="I160" s="17" t="n">
        <f aca="false">IF(AND(NOT(ISBLANK(creatives!F161)),NOT(ISNUMBER(MATCH(H160,data!J$2:J$29,0)))),1,0)</f>
        <v>0</v>
      </c>
      <c r="J160" s="17" t="str">
        <f aca="false">IF(NOT(ISBLANK(creatives!E161)),VLOOKUP(creatives!E161,data!M$2:N$38,2,0),"")</f>
        <v/>
      </c>
      <c r="K160" s="17" t="n">
        <f aca="false">IF(NOT(ISNUMBER(MATCH(J160,data!N$2:N$38,0))),1,0)</f>
        <v>1</v>
      </c>
      <c r="L160" s="18" t="str">
        <f aca="false">IF(NOT(ISBLANK(creatives!C161)),VLOOKUP(creatives!C161,data!$A$2:$B$705,2,0),"")</f>
        <v/>
      </c>
      <c r="M160" s="17" t="n">
        <f aca="false">IF(NOT(ISNUMBER(MATCH(L160,data!B$2:B$705,0))),1,0)</f>
        <v>1</v>
      </c>
      <c r="N160" s="19" t="b">
        <f aca="false">IF(NOT(A160),TRUE(),AND(A160,SUM(B160,C160,D160,E160,F160,G160,K160,M160,I160)=0))</f>
        <v>1</v>
      </c>
      <c r="O160" s="20" t="n">
        <v>159</v>
      </c>
      <c r="P160" s="19" t="b">
        <f aca="false">IF(A160,COUNTIF(A$2:A160, CONCATENATE("=", TRUE()))=O160, TRUE())</f>
        <v>1</v>
      </c>
      <c r="Q160" s="1" t="n">
        <f aca="false">IF(A160,O160,0)</f>
        <v>0</v>
      </c>
    </row>
    <row r="161" customFormat="false" ht="15.65" hidden="false" customHeight="false" outlineLevel="0" collapsed="false">
      <c r="A161" s="17" t="b">
        <f aca="false">COUNTIF(creatives!B162:J162, "*")&gt;0</f>
        <v>0</v>
      </c>
      <c r="B161" s="17" t="n">
        <f aca="false">IF(OR(NOT(ISTEXT(creatives!B162)), ISBLANK(creatives!B162), LEN(TRIM(creatives!B162))&gt;200), 1, 0)</f>
        <v>1</v>
      </c>
      <c r="C161" s="17" t="n">
        <f aca="false">IF(NOT(ISNUMBER(MATCH(creatives!D162,data!C$2:C$6,0))),1,0)</f>
        <v>1</v>
      </c>
      <c r="D161" s="17" t="n">
        <f aca="false">IF(OR(LEFT(creatives!G162,7)="http://",LEFT(creatives!G162,8)="https://"), 0, 1)</f>
        <v>1</v>
      </c>
      <c r="E161" s="17" t="n">
        <f aca="false">IF(OR(LEFT(creatives!H162,7)="http://",LEFT(creatives!H162,8)="https://"), 0, 1)</f>
        <v>1</v>
      </c>
      <c r="F161" s="17" t="n">
        <f aca="false">IF(NOT(ISNUMBER(MATCH(creatives!I162,data!G$2:G$6,0))),1,0)</f>
        <v>1</v>
      </c>
      <c r="G161" s="17" t="n">
        <f aca="false">IF(ISBLANK(creatives!J162), 1, 0)</f>
        <v>1</v>
      </c>
      <c r="H161" s="17" t="str">
        <f aca="false">IF(NOT(ISBLANK(creatives!F162)),VLOOKUP(creatives!F162,data!I$2:J$29,2,0),"")</f>
        <v/>
      </c>
      <c r="I161" s="17" t="n">
        <f aca="false">IF(AND(NOT(ISBLANK(creatives!F162)),NOT(ISNUMBER(MATCH(H161,data!J$2:J$29,0)))),1,0)</f>
        <v>0</v>
      </c>
      <c r="J161" s="17" t="str">
        <f aca="false">IF(NOT(ISBLANK(creatives!E162)),VLOOKUP(creatives!E162,data!M$2:N$38,2,0),"")</f>
        <v/>
      </c>
      <c r="K161" s="17" t="n">
        <f aca="false">IF(NOT(ISNUMBER(MATCH(J161,data!N$2:N$38,0))),1,0)</f>
        <v>1</v>
      </c>
      <c r="L161" s="18" t="str">
        <f aca="false">IF(NOT(ISBLANK(creatives!C162)),VLOOKUP(creatives!C162,data!$A$2:$B$705,2,0),"")</f>
        <v/>
      </c>
      <c r="M161" s="17" t="n">
        <f aca="false">IF(NOT(ISNUMBER(MATCH(L161,data!B$2:B$705,0))),1,0)</f>
        <v>1</v>
      </c>
      <c r="N161" s="19" t="b">
        <f aca="false">IF(NOT(A161),TRUE(),AND(A161,SUM(B161,C161,D161,E161,F161,G161,K161,M161,I161)=0))</f>
        <v>1</v>
      </c>
      <c r="O161" s="20" t="n">
        <v>160</v>
      </c>
      <c r="P161" s="19" t="b">
        <f aca="false">IF(A161,COUNTIF(A$2:A161, CONCATENATE("=", TRUE()))=O161, TRUE())</f>
        <v>1</v>
      </c>
      <c r="Q161" s="1" t="n">
        <f aca="false">IF(A161,O161,0)</f>
        <v>0</v>
      </c>
    </row>
    <row r="162" customFormat="false" ht="15.65" hidden="false" customHeight="false" outlineLevel="0" collapsed="false">
      <c r="A162" s="17" t="b">
        <f aca="false">COUNTIF(creatives!B163:J163, "*")&gt;0</f>
        <v>0</v>
      </c>
      <c r="B162" s="17" t="n">
        <f aca="false">IF(OR(NOT(ISTEXT(creatives!B163)), ISBLANK(creatives!B163), LEN(TRIM(creatives!B163))&gt;200), 1, 0)</f>
        <v>1</v>
      </c>
      <c r="C162" s="17" t="n">
        <f aca="false">IF(NOT(ISNUMBER(MATCH(creatives!D163,data!C$2:C$6,0))),1,0)</f>
        <v>1</v>
      </c>
      <c r="D162" s="17" t="n">
        <f aca="false">IF(OR(LEFT(creatives!G163,7)="http://",LEFT(creatives!G163,8)="https://"), 0, 1)</f>
        <v>1</v>
      </c>
      <c r="E162" s="17" t="n">
        <f aca="false">IF(OR(LEFT(creatives!H163,7)="http://",LEFT(creatives!H163,8)="https://"), 0, 1)</f>
        <v>1</v>
      </c>
      <c r="F162" s="17" t="n">
        <f aca="false">IF(NOT(ISNUMBER(MATCH(creatives!I163,data!G$2:G$6,0))),1,0)</f>
        <v>1</v>
      </c>
      <c r="G162" s="17" t="n">
        <f aca="false">IF(ISBLANK(creatives!J163), 1, 0)</f>
        <v>1</v>
      </c>
      <c r="H162" s="17" t="str">
        <f aca="false">IF(NOT(ISBLANK(creatives!F163)),VLOOKUP(creatives!F163,data!I$2:J$29,2,0),"")</f>
        <v/>
      </c>
      <c r="I162" s="17" t="n">
        <f aca="false">IF(AND(NOT(ISBLANK(creatives!F163)),NOT(ISNUMBER(MATCH(H162,data!J$2:J$29,0)))),1,0)</f>
        <v>0</v>
      </c>
      <c r="J162" s="17" t="str">
        <f aca="false">IF(NOT(ISBLANK(creatives!E163)),VLOOKUP(creatives!E163,data!M$2:N$38,2,0),"")</f>
        <v/>
      </c>
      <c r="K162" s="17" t="n">
        <f aca="false">IF(NOT(ISNUMBER(MATCH(J162,data!N$2:N$38,0))),1,0)</f>
        <v>1</v>
      </c>
      <c r="L162" s="18" t="str">
        <f aca="false">IF(NOT(ISBLANK(creatives!C163)),VLOOKUP(creatives!C163,data!$A$2:$B$705,2,0),"")</f>
        <v/>
      </c>
      <c r="M162" s="17" t="n">
        <f aca="false">IF(NOT(ISNUMBER(MATCH(L162,data!B$2:B$705,0))),1,0)</f>
        <v>1</v>
      </c>
      <c r="N162" s="19" t="b">
        <f aca="false">IF(NOT(A162),TRUE(),AND(A162,SUM(B162,C162,D162,E162,F162,G162,K162,M162,I162)=0))</f>
        <v>1</v>
      </c>
      <c r="O162" s="20" t="n">
        <v>161</v>
      </c>
      <c r="P162" s="19" t="b">
        <f aca="false">IF(A162,COUNTIF(A$2:A162, CONCATENATE("=", TRUE()))=O162, TRUE())</f>
        <v>1</v>
      </c>
      <c r="Q162" s="1" t="n">
        <f aca="false">IF(A162,O162,0)</f>
        <v>0</v>
      </c>
    </row>
    <row r="163" customFormat="false" ht="15.65" hidden="false" customHeight="false" outlineLevel="0" collapsed="false">
      <c r="A163" s="17" t="b">
        <f aca="false">COUNTIF(creatives!B164:J164, "*")&gt;0</f>
        <v>0</v>
      </c>
      <c r="B163" s="17" t="n">
        <f aca="false">IF(OR(NOT(ISTEXT(creatives!B164)), ISBLANK(creatives!B164), LEN(TRIM(creatives!B164))&gt;200), 1, 0)</f>
        <v>1</v>
      </c>
      <c r="C163" s="17" t="n">
        <f aca="false">IF(NOT(ISNUMBER(MATCH(creatives!D164,data!C$2:C$6,0))),1,0)</f>
        <v>1</v>
      </c>
      <c r="D163" s="17" t="n">
        <f aca="false">IF(OR(LEFT(creatives!G164,7)="http://",LEFT(creatives!G164,8)="https://"), 0, 1)</f>
        <v>1</v>
      </c>
      <c r="E163" s="17" t="n">
        <f aca="false">IF(OR(LEFT(creatives!H164,7)="http://",LEFT(creatives!H164,8)="https://"), 0, 1)</f>
        <v>1</v>
      </c>
      <c r="F163" s="17" t="n">
        <f aca="false">IF(NOT(ISNUMBER(MATCH(creatives!I164,data!G$2:G$6,0))),1,0)</f>
        <v>1</v>
      </c>
      <c r="G163" s="17" t="n">
        <f aca="false">IF(ISBLANK(creatives!J164), 1, 0)</f>
        <v>1</v>
      </c>
      <c r="H163" s="17" t="str">
        <f aca="false">IF(NOT(ISBLANK(creatives!F164)),VLOOKUP(creatives!F164,data!I$2:J$29,2,0),"")</f>
        <v/>
      </c>
      <c r="I163" s="17" t="n">
        <f aca="false">IF(AND(NOT(ISBLANK(creatives!F164)),NOT(ISNUMBER(MATCH(H163,data!J$2:J$29,0)))),1,0)</f>
        <v>0</v>
      </c>
      <c r="J163" s="17" t="str">
        <f aca="false">IF(NOT(ISBLANK(creatives!E164)),VLOOKUP(creatives!E164,data!M$2:N$38,2,0),"")</f>
        <v/>
      </c>
      <c r="K163" s="17" t="n">
        <f aca="false">IF(NOT(ISNUMBER(MATCH(J163,data!N$2:N$38,0))),1,0)</f>
        <v>1</v>
      </c>
      <c r="L163" s="18" t="str">
        <f aca="false">IF(NOT(ISBLANK(creatives!C164)),VLOOKUP(creatives!C164,data!$A$2:$B$705,2,0),"")</f>
        <v/>
      </c>
      <c r="M163" s="17" t="n">
        <f aca="false">IF(NOT(ISNUMBER(MATCH(L163,data!B$2:B$705,0))),1,0)</f>
        <v>1</v>
      </c>
      <c r="N163" s="19" t="b">
        <f aca="false">IF(NOT(A163),TRUE(),AND(A163,SUM(B163,C163,D163,E163,F163,G163,K163,M163,I163)=0))</f>
        <v>1</v>
      </c>
      <c r="O163" s="20" t="n">
        <v>162</v>
      </c>
      <c r="P163" s="19" t="b">
        <f aca="false">IF(A163,COUNTIF(A$2:A163, CONCATENATE("=", TRUE()))=O163, TRUE())</f>
        <v>1</v>
      </c>
      <c r="Q163" s="1" t="n">
        <f aca="false">IF(A163,O163,0)</f>
        <v>0</v>
      </c>
    </row>
    <row r="164" customFormat="false" ht="15.65" hidden="false" customHeight="false" outlineLevel="0" collapsed="false">
      <c r="A164" s="17" t="b">
        <f aca="false">COUNTIF(creatives!B165:J165, "*")&gt;0</f>
        <v>0</v>
      </c>
      <c r="B164" s="17" t="n">
        <f aca="false">IF(OR(NOT(ISTEXT(creatives!B165)), ISBLANK(creatives!B165), LEN(TRIM(creatives!B165))&gt;200), 1, 0)</f>
        <v>1</v>
      </c>
      <c r="C164" s="17" t="n">
        <f aca="false">IF(NOT(ISNUMBER(MATCH(creatives!D165,data!C$2:C$6,0))),1,0)</f>
        <v>1</v>
      </c>
      <c r="D164" s="17" t="n">
        <f aca="false">IF(OR(LEFT(creatives!G165,7)="http://",LEFT(creatives!G165,8)="https://"), 0, 1)</f>
        <v>1</v>
      </c>
      <c r="E164" s="17" t="n">
        <f aca="false">IF(OR(LEFT(creatives!H165,7)="http://",LEFT(creatives!H165,8)="https://"), 0, 1)</f>
        <v>1</v>
      </c>
      <c r="F164" s="17" t="n">
        <f aca="false">IF(NOT(ISNUMBER(MATCH(creatives!I165,data!G$2:G$6,0))),1,0)</f>
        <v>1</v>
      </c>
      <c r="G164" s="17" t="n">
        <f aca="false">IF(ISBLANK(creatives!J165), 1, 0)</f>
        <v>1</v>
      </c>
      <c r="H164" s="17" t="str">
        <f aca="false">IF(NOT(ISBLANK(creatives!F165)),VLOOKUP(creatives!F165,data!I$2:J$29,2,0),"")</f>
        <v/>
      </c>
      <c r="I164" s="17" t="n">
        <f aca="false">IF(AND(NOT(ISBLANK(creatives!F165)),NOT(ISNUMBER(MATCH(H164,data!J$2:J$29,0)))),1,0)</f>
        <v>0</v>
      </c>
      <c r="J164" s="17" t="str">
        <f aca="false">IF(NOT(ISBLANK(creatives!E165)),VLOOKUP(creatives!E165,data!M$2:N$38,2,0),"")</f>
        <v/>
      </c>
      <c r="K164" s="17" t="n">
        <f aca="false">IF(NOT(ISNUMBER(MATCH(J164,data!N$2:N$38,0))),1,0)</f>
        <v>1</v>
      </c>
      <c r="L164" s="18" t="str">
        <f aca="false">IF(NOT(ISBLANK(creatives!C165)),VLOOKUP(creatives!C165,data!$A$2:$B$705,2,0),"")</f>
        <v/>
      </c>
      <c r="M164" s="17" t="n">
        <f aca="false">IF(NOT(ISNUMBER(MATCH(L164,data!B$2:B$705,0))),1,0)</f>
        <v>1</v>
      </c>
      <c r="N164" s="19" t="b">
        <f aca="false">IF(NOT(A164),TRUE(),AND(A164,SUM(B164,C164,D164,E164,F164,G164,K164,M164,I164)=0))</f>
        <v>1</v>
      </c>
      <c r="O164" s="20" t="n">
        <v>163</v>
      </c>
      <c r="P164" s="19" t="b">
        <f aca="false">IF(A164,COUNTIF(A$2:A164, CONCATENATE("=", TRUE()))=O164, TRUE())</f>
        <v>1</v>
      </c>
      <c r="Q164" s="1" t="n">
        <f aca="false">IF(A164,O164,0)</f>
        <v>0</v>
      </c>
    </row>
    <row r="165" customFormat="false" ht="15.65" hidden="false" customHeight="false" outlineLevel="0" collapsed="false">
      <c r="A165" s="17" t="b">
        <f aca="false">COUNTIF(creatives!B166:J166, "*")&gt;0</f>
        <v>0</v>
      </c>
      <c r="B165" s="17" t="n">
        <f aca="false">IF(OR(NOT(ISTEXT(creatives!B166)), ISBLANK(creatives!B166), LEN(TRIM(creatives!B166))&gt;200), 1, 0)</f>
        <v>1</v>
      </c>
      <c r="C165" s="17" t="n">
        <f aca="false">IF(NOT(ISNUMBER(MATCH(creatives!D166,data!C$2:C$6,0))),1,0)</f>
        <v>1</v>
      </c>
      <c r="D165" s="17" t="n">
        <f aca="false">IF(OR(LEFT(creatives!G166,7)="http://",LEFT(creatives!G166,8)="https://"), 0, 1)</f>
        <v>1</v>
      </c>
      <c r="E165" s="17" t="n">
        <f aca="false">IF(OR(LEFT(creatives!H166,7)="http://",LEFT(creatives!H166,8)="https://"), 0, 1)</f>
        <v>1</v>
      </c>
      <c r="F165" s="17" t="n">
        <f aca="false">IF(NOT(ISNUMBER(MATCH(creatives!I166,data!G$2:G$6,0))),1,0)</f>
        <v>1</v>
      </c>
      <c r="G165" s="17" t="n">
        <f aca="false">IF(ISBLANK(creatives!J166), 1, 0)</f>
        <v>1</v>
      </c>
      <c r="H165" s="17" t="str">
        <f aca="false">IF(NOT(ISBLANK(creatives!F166)),VLOOKUP(creatives!F166,data!I$2:J$29,2,0),"")</f>
        <v/>
      </c>
      <c r="I165" s="17" t="n">
        <f aca="false">IF(AND(NOT(ISBLANK(creatives!F166)),NOT(ISNUMBER(MATCH(H165,data!J$2:J$29,0)))),1,0)</f>
        <v>0</v>
      </c>
      <c r="J165" s="17" t="str">
        <f aca="false">IF(NOT(ISBLANK(creatives!E166)),VLOOKUP(creatives!E166,data!M$2:N$38,2,0),"")</f>
        <v/>
      </c>
      <c r="K165" s="17" t="n">
        <f aca="false">IF(NOT(ISNUMBER(MATCH(J165,data!N$2:N$38,0))),1,0)</f>
        <v>1</v>
      </c>
      <c r="L165" s="18" t="str">
        <f aca="false">IF(NOT(ISBLANK(creatives!C166)),VLOOKUP(creatives!C166,data!$A$2:$B$705,2,0),"")</f>
        <v/>
      </c>
      <c r="M165" s="17" t="n">
        <f aca="false">IF(NOT(ISNUMBER(MATCH(L165,data!B$2:B$705,0))),1,0)</f>
        <v>1</v>
      </c>
      <c r="N165" s="19" t="b">
        <f aca="false">IF(NOT(A165),TRUE(),AND(A165,SUM(B165,C165,D165,E165,F165,G165,K165,M165,I165)=0))</f>
        <v>1</v>
      </c>
      <c r="O165" s="20" t="n">
        <v>164</v>
      </c>
      <c r="P165" s="19" t="b">
        <f aca="false">IF(A165,COUNTIF(A$2:A165, CONCATENATE("=", TRUE()))=O165, TRUE())</f>
        <v>1</v>
      </c>
      <c r="Q165" s="1" t="n">
        <f aca="false">IF(A165,O165,0)</f>
        <v>0</v>
      </c>
    </row>
    <row r="166" customFormat="false" ht="15.65" hidden="false" customHeight="false" outlineLevel="0" collapsed="false">
      <c r="A166" s="17" t="b">
        <f aca="false">COUNTIF(creatives!B167:J167, "*")&gt;0</f>
        <v>0</v>
      </c>
      <c r="B166" s="17" t="n">
        <f aca="false">IF(OR(NOT(ISTEXT(creatives!B167)), ISBLANK(creatives!B167), LEN(TRIM(creatives!B167))&gt;200), 1, 0)</f>
        <v>1</v>
      </c>
      <c r="C166" s="17" t="n">
        <f aca="false">IF(NOT(ISNUMBER(MATCH(creatives!D167,data!C$2:C$6,0))),1,0)</f>
        <v>1</v>
      </c>
      <c r="D166" s="17" t="n">
        <f aca="false">IF(OR(LEFT(creatives!G167,7)="http://",LEFT(creatives!G167,8)="https://"), 0, 1)</f>
        <v>1</v>
      </c>
      <c r="E166" s="17" t="n">
        <f aca="false">IF(OR(LEFT(creatives!H167,7)="http://",LEFT(creatives!H167,8)="https://"), 0, 1)</f>
        <v>1</v>
      </c>
      <c r="F166" s="17" t="n">
        <f aca="false">IF(NOT(ISNUMBER(MATCH(creatives!I167,data!G$2:G$6,0))),1,0)</f>
        <v>1</v>
      </c>
      <c r="G166" s="17" t="n">
        <f aca="false">IF(ISBLANK(creatives!J167), 1, 0)</f>
        <v>1</v>
      </c>
      <c r="H166" s="17" t="str">
        <f aca="false">IF(NOT(ISBLANK(creatives!F167)),VLOOKUP(creatives!F167,data!I$2:J$29,2,0),"")</f>
        <v/>
      </c>
      <c r="I166" s="17" t="n">
        <f aca="false">IF(AND(NOT(ISBLANK(creatives!F167)),NOT(ISNUMBER(MATCH(H166,data!J$2:J$29,0)))),1,0)</f>
        <v>0</v>
      </c>
      <c r="J166" s="17" t="str">
        <f aca="false">IF(NOT(ISBLANK(creatives!E167)),VLOOKUP(creatives!E167,data!M$2:N$38,2,0),"")</f>
        <v/>
      </c>
      <c r="K166" s="17" t="n">
        <f aca="false">IF(NOT(ISNUMBER(MATCH(J166,data!N$2:N$38,0))),1,0)</f>
        <v>1</v>
      </c>
      <c r="L166" s="18" t="str">
        <f aca="false">IF(NOT(ISBLANK(creatives!C167)),VLOOKUP(creatives!C167,data!$A$2:$B$705,2,0),"")</f>
        <v/>
      </c>
      <c r="M166" s="17" t="n">
        <f aca="false">IF(NOT(ISNUMBER(MATCH(L166,data!B$2:B$705,0))),1,0)</f>
        <v>1</v>
      </c>
      <c r="N166" s="19" t="b">
        <f aca="false">IF(NOT(A166),TRUE(),AND(A166,SUM(B166,C166,D166,E166,F166,G166,K166,M166,I166)=0))</f>
        <v>1</v>
      </c>
      <c r="O166" s="20" t="n">
        <v>165</v>
      </c>
      <c r="P166" s="19" t="b">
        <f aca="false">IF(A166,COUNTIF(A$2:A166, CONCATENATE("=", TRUE()))=O166, TRUE())</f>
        <v>1</v>
      </c>
      <c r="Q166" s="1" t="n">
        <f aca="false">IF(A166,O166,0)</f>
        <v>0</v>
      </c>
    </row>
    <row r="167" customFormat="false" ht="15.65" hidden="false" customHeight="false" outlineLevel="0" collapsed="false">
      <c r="A167" s="17" t="b">
        <f aca="false">COUNTIF(creatives!B168:J168, "*")&gt;0</f>
        <v>0</v>
      </c>
      <c r="B167" s="17" t="n">
        <f aca="false">IF(OR(NOT(ISTEXT(creatives!B168)), ISBLANK(creatives!B168), LEN(TRIM(creatives!B168))&gt;200), 1, 0)</f>
        <v>1</v>
      </c>
      <c r="C167" s="17" t="n">
        <f aca="false">IF(NOT(ISNUMBER(MATCH(creatives!D168,data!C$2:C$6,0))),1,0)</f>
        <v>1</v>
      </c>
      <c r="D167" s="17" t="n">
        <f aca="false">IF(OR(LEFT(creatives!G168,7)="http://",LEFT(creatives!G168,8)="https://"), 0, 1)</f>
        <v>1</v>
      </c>
      <c r="E167" s="17" t="n">
        <f aca="false">IF(OR(LEFT(creatives!H168,7)="http://",LEFT(creatives!H168,8)="https://"), 0, 1)</f>
        <v>1</v>
      </c>
      <c r="F167" s="17" t="n">
        <f aca="false">IF(NOT(ISNUMBER(MATCH(creatives!I168,data!G$2:G$6,0))),1,0)</f>
        <v>1</v>
      </c>
      <c r="G167" s="17" t="n">
        <f aca="false">IF(ISBLANK(creatives!J168), 1, 0)</f>
        <v>1</v>
      </c>
      <c r="H167" s="17" t="str">
        <f aca="false">IF(NOT(ISBLANK(creatives!F168)),VLOOKUP(creatives!F168,data!I$2:J$29,2,0),"")</f>
        <v/>
      </c>
      <c r="I167" s="17" t="n">
        <f aca="false">IF(AND(NOT(ISBLANK(creatives!F168)),NOT(ISNUMBER(MATCH(H167,data!J$2:J$29,0)))),1,0)</f>
        <v>0</v>
      </c>
      <c r="J167" s="17" t="str">
        <f aca="false">IF(NOT(ISBLANK(creatives!E168)),VLOOKUP(creatives!E168,data!M$2:N$38,2,0),"")</f>
        <v/>
      </c>
      <c r="K167" s="17" t="n">
        <f aca="false">IF(NOT(ISNUMBER(MATCH(J167,data!N$2:N$38,0))),1,0)</f>
        <v>1</v>
      </c>
      <c r="L167" s="18" t="str">
        <f aca="false">IF(NOT(ISBLANK(creatives!C168)),VLOOKUP(creatives!C168,data!$A$2:$B$705,2,0),"")</f>
        <v/>
      </c>
      <c r="M167" s="17" t="n">
        <f aca="false">IF(NOT(ISNUMBER(MATCH(L167,data!B$2:B$705,0))),1,0)</f>
        <v>1</v>
      </c>
      <c r="N167" s="19" t="b">
        <f aca="false">IF(NOT(A167),TRUE(),AND(A167,SUM(B167,C167,D167,E167,F167,G167,K167,M167,I167)=0))</f>
        <v>1</v>
      </c>
      <c r="O167" s="20" t="n">
        <v>166</v>
      </c>
      <c r="P167" s="19" t="b">
        <f aca="false">IF(A167,COUNTIF(A$2:A167, CONCATENATE("=", TRUE()))=O167, TRUE())</f>
        <v>1</v>
      </c>
      <c r="Q167" s="1" t="n">
        <f aca="false">IF(A167,O167,0)</f>
        <v>0</v>
      </c>
    </row>
    <row r="168" customFormat="false" ht="15.65" hidden="false" customHeight="false" outlineLevel="0" collapsed="false">
      <c r="A168" s="17" t="b">
        <f aca="false">COUNTIF(creatives!B169:J169, "*")&gt;0</f>
        <v>0</v>
      </c>
      <c r="B168" s="17" t="n">
        <f aca="false">IF(OR(NOT(ISTEXT(creatives!B169)), ISBLANK(creatives!B169), LEN(TRIM(creatives!B169))&gt;200), 1, 0)</f>
        <v>1</v>
      </c>
      <c r="C168" s="17" t="n">
        <f aca="false">IF(NOT(ISNUMBER(MATCH(creatives!D169,data!C$2:C$6,0))),1,0)</f>
        <v>1</v>
      </c>
      <c r="D168" s="17" t="n">
        <f aca="false">IF(OR(LEFT(creatives!G169,7)="http://",LEFT(creatives!G169,8)="https://"), 0, 1)</f>
        <v>1</v>
      </c>
      <c r="E168" s="17" t="n">
        <f aca="false">IF(OR(LEFT(creatives!H169,7)="http://",LEFT(creatives!H169,8)="https://"), 0, 1)</f>
        <v>1</v>
      </c>
      <c r="F168" s="17" t="n">
        <f aca="false">IF(NOT(ISNUMBER(MATCH(creatives!I169,data!G$2:G$6,0))),1,0)</f>
        <v>1</v>
      </c>
      <c r="G168" s="17" t="n">
        <f aca="false">IF(ISBLANK(creatives!J169), 1, 0)</f>
        <v>1</v>
      </c>
      <c r="H168" s="17" t="str">
        <f aca="false">IF(NOT(ISBLANK(creatives!F169)),VLOOKUP(creatives!F169,data!I$2:J$29,2,0),"")</f>
        <v/>
      </c>
      <c r="I168" s="17" t="n">
        <f aca="false">IF(AND(NOT(ISBLANK(creatives!F169)),NOT(ISNUMBER(MATCH(H168,data!J$2:J$29,0)))),1,0)</f>
        <v>0</v>
      </c>
      <c r="J168" s="17" t="str">
        <f aca="false">IF(NOT(ISBLANK(creatives!E169)),VLOOKUP(creatives!E169,data!M$2:N$38,2,0),"")</f>
        <v/>
      </c>
      <c r="K168" s="17" t="n">
        <f aca="false">IF(NOT(ISNUMBER(MATCH(J168,data!N$2:N$38,0))),1,0)</f>
        <v>1</v>
      </c>
      <c r="L168" s="18" t="str">
        <f aca="false">IF(NOT(ISBLANK(creatives!C169)),VLOOKUP(creatives!C169,data!$A$2:$B$705,2,0),"")</f>
        <v/>
      </c>
      <c r="M168" s="17" t="n">
        <f aca="false">IF(NOT(ISNUMBER(MATCH(L168,data!B$2:B$705,0))),1,0)</f>
        <v>1</v>
      </c>
      <c r="N168" s="19" t="b">
        <f aca="false">IF(NOT(A168),TRUE(),AND(A168,SUM(B168,C168,D168,E168,F168,G168,K168,M168,I168)=0))</f>
        <v>1</v>
      </c>
      <c r="O168" s="20" t="n">
        <v>167</v>
      </c>
      <c r="P168" s="19" t="b">
        <f aca="false">IF(A168,COUNTIF(A$2:A168, CONCATENATE("=", TRUE()))=O168, TRUE())</f>
        <v>1</v>
      </c>
      <c r="Q168" s="1" t="n">
        <f aca="false">IF(A168,O168,0)</f>
        <v>0</v>
      </c>
    </row>
    <row r="169" customFormat="false" ht="15.65" hidden="false" customHeight="false" outlineLevel="0" collapsed="false">
      <c r="A169" s="17" t="b">
        <f aca="false">COUNTIF(creatives!B170:J170, "*")&gt;0</f>
        <v>0</v>
      </c>
      <c r="B169" s="17" t="n">
        <f aca="false">IF(OR(NOT(ISTEXT(creatives!B170)), ISBLANK(creatives!B170), LEN(TRIM(creatives!B170))&gt;200), 1, 0)</f>
        <v>1</v>
      </c>
      <c r="C169" s="17" t="n">
        <f aca="false">IF(NOT(ISNUMBER(MATCH(creatives!D170,data!C$2:C$6,0))),1,0)</f>
        <v>1</v>
      </c>
      <c r="D169" s="17" t="n">
        <f aca="false">IF(OR(LEFT(creatives!G170,7)="http://",LEFT(creatives!G170,8)="https://"), 0, 1)</f>
        <v>1</v>
      </c>
      <c r="E169" s="17" t="n">
        <f aca="false">IF(OR(LEFT(creatives!H170,7)="http://",LEFT(creatives!H170,8)="https://"), 0, 1)</f>
        <v>1</v>
      </c>
      <c r="F169" s="17" t="n">
        <f aca="false">IF(NOT(ISNUMBER(MATCH(creatives!I170,data!G$2:G$6,0))),1,0)</f>
        <v>1</v>
      </c>
      <c r="G169" s="17" t="n">
        <f aca="false">IF(ISBLANK(creatives!J170), 1, 0)</f>
        <v>1</v>
      </c>
      <c r="H169" s="17" t="str">
        <f aca="false">IF(NOT(ISBLANK(creatives!F170)),VLOOKUP(creatives!F170,data!I$2:J$29,2,0),"")</f>
        <v/>
      </c>
      <c r="I169" s="17" t="n">
        <f aca="false">IF(AND(NOT(ISBLANK(creatives!F170)),NOT(ISNUMBER(MATCH(H169,data!J$2:J$29,0)))),1,0)</f>
        <v>0</v>
      </c>
      <c r="J169" s="17" t="str">
        <f aca="false">IF(NOT(ISBLANK(creatives!E170)),VLOOKUP(creatives!E170,data!M$2:N$38,2,0),"")</f>
        <v/>
      </c>
      <c r="K169" s="17" t="n">
        <f aca="false">IF(NOT(ISNUMBER(MATCH(J169,data!N$2:N$38,0))),1,0)</f>
        <v>1</v>
      </c>
      <c r="L169" s="18" t="str">
        <f aca="false">IF(NOT(ISBLANK(creatives!C170)),VLOOKUP(creatives!C170,data!$A$2:$B$705,2,0),"")</f>
        <v/>
      </c>
      <c r="M169" s="17" t="n">
        <f aca="false">IF(NOT(ISNUMBER(MATCH(L169,data!B$2:B$705,0))),1,0)</f>
        <v>1</v>
      </c>
      <c r="N169" s="19" t="b">
        <f aca="false">IF(NOT(A169),TRUE(),AND(A169,SUM(B169,C169,D169,E169,F169,G169,K169,M169,I169)=0))</f>
        <v>1</v>
      </c>
      <c r="O169" s="20" t="n">
        <v>168</v>
      </c>
      <c r="P169" s="19" t="b">
        <f aca="false">IF(A169,COUNTIF(A$2:A169, CONCATENATE("=", TRUE()))=O169, TRUE())</f>
        <v>1</v>
      </c>
      <c r="Q169" s="1" t="n">
        <f aca="false">IF(A169,O169,0)</f>
        <v>0</v>
      </c>
    </row>
    <row r="170" customFormat="false" ht="15.65" hidden="false" customHeight="false" outlineLevel="0" collapsed="false">
      <c r="A170" s="17" t="b">
        <f aca="false">COUNTIF(creatives!B171:J171, "*")&gt;0</f>
        <v>0</v>
      </c>
      <c r="B170" s="17" t="n">
        <f aca="false">IF(OR(NOT(ISTEXT(creatives!B171)), ISBLANK(creatives!B171), LEN(TRIM(creatives!B171))&gt;200), 1, 0)</f>
        <v>1</v>
      </c>
      <c r="C170" s="17" t="n">
        <f aca="false">IF(NOT(ISNUMBER(MATCH(creatives!D171,data!C$2:C$6,0))),1,0)</f>
        <v>1</v>
      </c>
      <c r="D170" s="17" t="n">
        <f aca="false">IF(OR(LEFT(creatives!G171,7)="http://",LEFT(creatives!G171,8)="https://"), 0, 1)</f>
        <v>1</v>
      </c>
      <c r="E170" s="17" t="n">
        <f aca="false">IF(OR(LEFT(creatives!H171,7)="http://",LEFT(creatives!H171,8)="https://"), 0, 1)</f>
        <v>1</v>
      </c>
      <c r="F170" s="17" t="n">
        <f aca="false">IF(NOT(ISNUMBER(MATCH(creatives!I171,data!G$2:G$6,0))),1,0)</f>
        <v>1</v>
      </c>
      <c r="G170" s="17" t="n">
        <f aca="false">IF(ISBLANK(creatives!J171), 1, 0)</f>
        <v>1</v>
      </c>
      <c r="H170" s="17" t="str">
        <f aca="false">IF(NOT(ISBLANK(creatives!F171)),VLOOKUP(creatives!F171,data!I$2:J$29,2,0),"")</f>
        <v/>
      </c>
      <c r="I170" s="17" t="n">
        <f aca="false">IF(AND(NOT(ISBLANK(creatives!F171)),NOT(ISNUMBER(MATCH(H170,data!J$2:J$29,0)))),1,0)</f>
        <v>0</v>
      </c>
      <c r="J170" s="17" t="str">
        <f aca="false">IF(NOT(ISBLANK(creatives!E171)),VLOOKUP(creatives!E171,data!M$2:N$38,2,0),"")</f>
        <v/>
      </c>
      <c r="K170" s="17" t="n">
        <f aca="false">IF(NOT(ISNUMBER(MATCH(J170,data!N$2:N$38,0))),1,0)</f>
        <v>1</v>
      </c>
      <c r="L170" s="18" t="str">
        <f aca="false">IF(NOT(ISBLANK(creatives!C171)),VLOOKUP(creatives!C171,data!$A$2:$B$705,2,0),"")</f>
        <v/>
      </c>
      <c r="M170" s="17" t="n">
        <f aca="false">IF(NOT(ISNUMBER(MATCH(L170,data!B$2:B$705,0))),1,0)</f>
        <v>1</v>
      </c>
      <c r="N170" s="19" t="b">
        <f aca="false">IF(NOT(A170),TRUE(),AND(A170,SUM(B170,C170,D170,E170,F170,G170,K170,M170,I170)=0))</f>
        <v>1</v>
      </c>
      <c r="O170" s="20" t="n">
        <v>169</v>
      </c>
      <c r="P170" s="19" t="b">
        <f aca="false">IF(A170,COUNTIF(A$2:A170, CONCATENATE("=", TRUE()))=O170, TRUE())</f>
        <v>1</v>
      </c>
      <c r="Q170" s="1" t="n">
        <f aca="false">IF(A170,O170,0)</f>
        <v>0</v>
      </c>
    </row>
    <row r="171" customFormat="false" ht="15.65" hidden="false" customHeight="false" outlineLevel="0" collapsed="false">
      <c r="A171" s="17" t="b">
        <f aca="false">COUNTIF(creatives!B172:J172, "*")&gt;0</f>
        <v>0</v>
      </c>
      <c r="B171" s="17" t="n">
        <f aca="false">IF(OR(NOT(ISTEXT(creatives!B172)), ISBLANK(creatives!B172), LEN(TRIM(creatives!B172))&gt;200), 1, 0)</f>
        <v>1</v>
      </c>
      <c r="C171" s="17" t="n">
        <f aca="false">IF(NOT(ISNUMBER(MATCH(creatives!D172,data!C$2:C$6,0))),1,0)</f>
        <v>1</v>
      </c>
      <c r="D171" s="17" t="n">
        <f aca="false">IF(OR(LEFT(creatives!G172,7)="http://",LEFT(creatives!G172,8)="https://"), 0, 1)</f>
        <v>1</v>
      </c>
      <c r="E171" s="17" t="n">
        <f aca="false">IF(OR(LEFT(creatives!H172,7)="http://",LEFT(creatives!H172,8)="https://"), 0, 1)</f>
        <v>1</v>
      </c>
      <c r="F171" s="17" t="n">
        <f aca="false">IF(NOT(ISNUMBER(MATCH(creatives!I172,data!G$2:G$6,0))),1,0)</f>
        <v>1</v>
      </c>
      <c r="G171" s="17" t="n">
        <f aca="false">IF(ISBLANK(creatives!J172), 1, 0)</f>
        <v>1</v>
      </c>
      <c r="H171" s="17" t="str">
        <f aca="false">IF(NOT(ISBLANK(creatives!F172)),VLOOKUP(creatives!F172,data!I$2:J$29,2,0),"")</f>
        <v/>
      </c>
      <c r="I171" s="17" t="n">
        <f aca="false">IF(AND(NOT(ISBLANK(creatives!F172)),NOT(ISNUMBER(MATCH(H171,data!J$2:J$29,0)))),1,0)</f>
        <v>0</v>
      </c>
      <c r="J171" s="17" t="str">
        <f aca="false">IF(NOT(ISBLANK(creatives!E172)),VLOOKUP(creatives!E172,data!M$2:N$38,2,0),"")</f>
        <v/>
      </c>
      <c r="K171" s="17" t="n">
        <f aca="false">IF(NOT(ISNUMBER(MATCH(J171,data!N$2:N$38,0))),1,0)</f>
        <v>1</v>
      </c>
      <c r="L171" s="18" t="str">
        <f aca="false">IF(NOT(ISBLANK(creatives!C172)),VLOOKUP(creatives!C172,data!$A$2:$B$705,2,0),"")</f>
        <v/>
      </c>
      <c r="M171" s="17" t="n">
        <f aca="false">IF(NOT(ISNUMBER(MATCH(L171,data!B$2:B$705,0))),1,0)</f>
        <v>1</v>
      </c>
      <c r="N171" s="19" t="b">
        <f aca="false">IF(NOT(A171),TRUE(),AND(A171,SUM(B171,C171,D171,E171,F171,G171,K171,M171,I171)=0))</f>
        <v>1</v>
      </c>
      <c r="O171" s="20" t="n">
        <v>170</v>
      </c>
      <c r="P171" s="19" t="b">
        <f aca="false">IF(A171,COUNTIF(A$2:A171, CONCATENATE("=", TRUE()))=O171, TRUE())</f>
        <v>1</v>
      </c>
      <c r="Q171" s="1" t="n">
        <f aca="false">IF(A171,O171,0)</f>
        <v>0</v>
      </c>
    </row>
    <row r="172" customFormat="false" ht="15.65" hidden="false" customHeight="false" outlineLevel="0" collapsed="false">
      <c r="A172" s="17" t="b">
        <f aca="false">COUNTIF(creatives!B173:J173, "*")&gt;0</f>
        <v>0</v>
      </c>
      <c r="B172" s="17" t="n">
        <f aca="false">IF(OR(NOT(ISTEXT(creatives!B173)), ISBLANK(creatives!B173), LEN(TRIM(creatives!B173))&gt;200), 1, 0)</f>
        <v>1</v>
      </c>
      <c r="C172" s="17" t="n">
        <f aca="false">IF(NOT(ISNUMBER(MATCH(creatives!D173,data!C$2:C$6,0))),1,0)</f>
        <v>1</v>
      </c>
      <c r="D172" s="17" t="n">
        <f aca="false">IF(OR(LEFT(creatives!G173,7)="http://",LEFT(creatives!G173,8)="https://"), 0, 1)</f>
        <v>1</v>
      </c>
      <c r="E172" s="17" t="n">
        <f aca="false">IF(OR(LEFT(creatives!H173,7)="http://",LEFT(creatives!H173,8)="https://"), 0, 1)</f>
        <v>1</v>
      </c>
      <c r="F172" s="17" t="n">
        <f aca="false">IF(NOT(ISNUMBER(MATCH(creatives!I173,data!G$2:G$6,0))),1,0)</f>
        <v>1</v>
      </c>
      <c r="G172" s="17" t="n">
        <f aca="false">IF(ISBLANK(creatives!J173), 1, 0)</f>
        <v>1</v>
      </c>
      <c r="H172" s="17" t="str">
        <f aca="false">IF(NOT(ISBLANK(creatives!F173)),VLOOKUP(creatives!F173,data!I$2:J$29,2,0),"")</f>
        <v/>
      </c>
      <c r="I172" s="17" t="n">
        <f aca="false">IF(AND(NOT(ISBLANK(creatives!F173)),NOT(ISNUMBER(MATCH(H172,data!J$2:J$29,0)))),1,0)</f>
        <v>0</v>
      </c>
      <c r="J172" s="17" t="str">
        <f aca="false">IF(NOT(ISBLANK(creatives!E173)),VLOOKUP(creatives!E173,data!M$2:N$38,2,0),"")</f>
        <v/>
      </c>
      <c r="K172" s="17" t="n">
        <f aca="false">IF(NOT(ISNUMBER(MATCH(J172,data!N$2:N$38,0))),1,0)</f>
        <v>1</v>
      </c>
      <c r="L172" s="18" t="str">
        <f aca="false">IF(NOT(ISBLANK(creatives!C173)),VLOOKUP(creatives!C173,data!$A$2:$B$705,2,0),"")</f>
        <v/>
      </c>
      <c r="M172" s="17" t="n">
        <f aca="false">IF(NOT(ISNUMBER(MATCH(L172,data!B$2:B$705,0))),1,0)</f>
        <v>1</v>
      </c>
      <c r="N172" s="19" t="b">
        <f aca="false">IF(NOT(A172),TRUE(),AND(A172,SUM(B172,C172,D172,E172,F172,G172,K172,M172,I172)=0))</f>
        <v>1</v>
      </c>
      <c r="O172" s="20" t="n">
        <v>171</v>
      </c>
      <c r="P172" s="19" t="b">
        <f aca="false">IF(A172,COUNTIF(A$2:A172, CONCATENATE("=", TRUE()))=O172, TRUE())</f>
        <v>1</v>
      </c>
      <c r="Q172" s="1" t="n">
        <f aca="false">IF(A172,O172,0)</f>
        <v>0</v>
      </c>
    </row>
    <row r="173" customFormat="false" ht="15.65" hidden="false" customHeight="false" outlineLevel="0" collapsed="false">
      <c r="A173" s="17" t="b">
        <f aca="false">COUNTIF(creatives!B174:J174, "*")&gt;0</f>
        <v>0</v>
      </c>
      <c r="B173" s="17" t="n">
        <f aca="false">IF(OR(NOT(ISTEXT(creatives!B174)), ISBLANK(creatives!B174), LEN(TRIM(creatives!B174))&gt;200), 1, 0)</f>
        <v>1</v>
      </c>
      <c r="C173" s="17" t="n">
        <f aca="false">IF(NOT(ISNUMBER(MATCH(creatives!D174,data!C$2:C$6,0))),1,0)</f>
        <v>1</v>
      </c>
      <c r="D173" s="17" t="n">
        <f aca="false">IF(OR(LEFT(creatives!G174,7)="http://",LEFT(creatives!G174,8)="https://"), 0, 1)</f>
        <v>1</v>
      </c>
      <c r="E173" s="17" t="n">
        <f aca="false">IF(OR(LEFT(creatives!H174,7)="http://",LEFT(creatives!H174,8)="https://"), 0, 1)</f>
        <v>1</v>
      </c>
      <c r="F173" s="17" t="n">
        <f aca="false">IF(NOT(ISNUMBER(MATCH(creatives!I174,data!G$2:G$6,0))),1,0)</f>
        <v>1</v>
      </c>
      <c r="G173" s="17" t="n">
        <f aca="false">IF(ISBLANK(creatives!J174), 1, 0)</f>
        <v>1</v>
      </c>
      <c r="H173" s="17" t="str">
        <f aca="false">IF(NOT(ISBLANK(creatives!F174)),VLOOKUP(creatives!F174,data!I$2:J$29,2,0),"")</f>
        <v/>
      </c>
      <c r="I173" s="17" t="n">
        <f aca="false">IF(AND(NOT(ISBLANK(creatives!F174)),NOT(ISNUMBER(MATCH(H173,data!J$2:J$29,0)))),1,0)</f>
        <v>0</v>
      </c>
      <c r="J173" s="17" t="str">
        <f aca="false">IF(NOT(ISBLANK(creatives!E174)),VLOOKUP(creatives!E174,data!M$2:N$38,2,0),"")</f>
        <v/>
      </c>
      <c r="K173" s="17" t="n">
        <f aca="false">IF(NOT(ISNUMBER(MATCH(J173,data!N$2:N$38,0))),1,0)</f>
        <v>1</v>
      </c>
      <c r="L173" s="18" t="str">
        <f aca="false">IF(NOT(ISBLANK(creatives!C174)),VLOOKUP(creatives!C174,data!$A$2:$B$705,2,0),"")</f>
        <v/>
      </c>
      <c r="M173" s="17" t="n">
        <f aca="false">IF(NOT(ISNUMBER(MATCH(L173,data!B$2:B$705,0))),1,0)</f>
        <v>1</v>
      </c>
      <c r="N173" s="19" t="b">
        <f aca="false">IF(NOT(A173),TRUE(),AND(A173,SUM(B173,C173,D173,E173,F173,G173,K173,M173,I173)=0))</f>
        <v>1</v>
      </c>
      <c r="O173" s="20" t="n">
        <v>172</v>
      </c>
      <c r="P173" s="19" t="b">
        <f aca="false">IF(A173,COUNTIF(A$2:A173, CONCATENATE("=", TRUE()))=O173, TRUE())</f>
        <v>1</v>
      </c>
      <c r="Q173" s="1" t="n">
        <f aca="false">IF(A173,O173,0)</f>
        <v>0</v>
      </c>
    </row>
    <row r="174" customFormat="false" ht="15.65" hidden="false" customHeight="false" outlineLevel="0" collapsed="false">
      <c r="A174" s="17" t="b">
        <f aca="false">COUNTIF(creatives!B175:J175, "*")&gt;0</f>
        <v>0</v>
      </c>
      <c r="B174" s="17" t="n">
        <f aca="false">IF(OR(NOT(ISTEXT(creatives!B175)), ISBLANK(creatives!B175), LEN(TRIM(creatives!B175))&gt;200), 1, 0)</f>
        <v>1</v>
      </c>
      <c r="C174" s="17" t="n">
        <f aca="false">IF(NOT(ISNUMBER(MATCH(creatives!D175,data!C$2:C$6,0))),1,0)</f>
        <v>1</v>
      </c>
      <c r="D174" s="17" t="n">
        <f aca="false">IF(OR(LEFT(creatives!G175,7)="http://",LEFT(creatives!G175,8)="https://"), 0, 1)</f>
        <v>1</v>
      </c>
      <c r="E174" s="17" t="n">
        <f aca="false">IF(OR(LEFT(creatives!H175,7)="http://",LEFT(creatives!H175,8)="https://"), 0, 1)</f>
        <v>1</v>
      </c>
      <c r="F174" s="17" t="n">
        <f aca="false">IF(NOT(ISNUMBER(MATCH(creatives!I175,data!G$2:G$6,0))),1,0)</f>
        <v>1</v>
      </c>
      <c r="G174" s="17" t="n">
        <f aca="false">IF(ISBLANK(creatives!J175), 1, 0)</f>
        <v>1</v>
      </c>
      <c r="H174" s="17" t="str">
        <f aca="false">IF(NOT(ISBLANK(creatives!F175)),VLOOKUP(creatives!F175,data!I$2:J$29,2,0),"")</f>
        <v/>
      </c>
      <c r="I174" s="17" t="n">
        <f aca="false">IF(AND(NOT(ISBLANK(creatives!F175)),NOT(ISNUMBER(MATCH(H174,data!J$2:J$29,0)))),1,0)</f>
        <v>0</v>
      </c>
      <c r="J174" s="17" t="str">
        <f aca="false">IF(NOT(ISBLANK(creatives!E175)),VLOOKUP(creatives!E175,data!M$2:N$38,2,0),"")</f>
        <v/>
      </c>
      <c r="K174" s="17" t="n">
        <f aca="false">IF(NOT(ISNUMBER(MATCH(J174,data!N$2:N$38,0))),1,0)</f>
        <v>1</v>
      </c>
      <c r="L174" s="18" t="str">
        <f aca="false">IF(NOT(ISBLANK(creatives!C175)),VLOOKUP(creatives!C175,data!$A$2:$B$705,2,0),"")</f>
        <v/>
      </c>
      <c r="M174" s="17" t="n">
        <f aca="false">IF(NOT(ISNUMBER(MATCH(L174,data!B$2:B$705,0))),1,0)</f>
        <v>1</v>
      </c>
      <c r="N174" s="19" t="b">
        <f aca="false">IF(NOT(A174),TRUE(),AND(A174,SUM(B174,C174,D174,E174,F174,G174,K174,M174,I174)=0))</f>
        <v>1</v>
      </c>
      <c r="O174" s="20" t="n">
        <v>173</v>
      </c>
      <c r="P174" s="19" t="b">
        <f aca="false">IF(A174,COUNTIF(A$2:A174, CONCATENATE("=", TRUE()))=O174, TRUE())</f>
        <v>1</v>
      </c>
      <c r="Q174" s="1" t="n">
        <f aca="false">IF(A174,O174,0)</f>
        <v>0</v>
      </c>
    </row>
    <row r="175" customFormat="false" ht="15.65" hidden="false" customHeight="false" outlineLevel="0" collapsed="false">
      <c r="A175" s="17" t="b">
        <f aca="false">COUNTIF(creatives!B176:J176, "*")&gt;0</f>
        <v>0</v>
      </c>
      <c r="B175" s="17" t="n">
        <f aca="false">IF(OR(NOT(ISTEXT(creatives!B176)), ISBLANK(creatives!B176), LEN(TRIM(creatives!B176))&gt;200), 1, 0)</f>
        <v>1</v>
      </c>
      <c r="C175" s="17" t="n">
        <f aca="false">IF(NOT(ISNUMBER(MATCH(creatives!D176,data!C$2:C$6,0))),1,0)</f>
        <v>1</v>
      </c>
      <c r="D175" s="17" t="n">
        <f aca="false">IF(OR(LEFT(creatives!G176,7)="http://",LEFT(creatives!G176,8)="https://"), 0, 1)</f>
        <v>1</v>
      </c>
      <c r="E175" s="17" t="n">
        <f aca="false">IF(OR(LEFT(creatives!H176,7)="http://",LEFT(creatives!H176,8)="https://"), 0, 1)</f>
        <v>1</v>
      </c>
      <c r="F175" s="17" t="n">
        <f aca="false">IF(NOT(ISNUMBER(MATCH(creatives!I176,data!G$2:G$6,0))),1,0)</f>
        <v>1</v>
      </c>
      <c r="G175" s="17" t="n">
        <f aca="false">IF(ISBLANK(creatives!J176), 1, 0)</f>
        <v>1</v>
      </c>
      <c r="H175" s="17" t="str">
        <f aca="false">IF(NOT(ISBLANK(creatives!F176)),VLOOKUP(creatives!F176,data!I$2:J$29,2,0),"")</f>
        <v/>
      </c>
      <c r="I175" s="17" t="n">
        <f aca="false">IF(AND(NOT(ISBLANK(creatives!F176)),NOT(ISNUMBER(MATCH(H175,data!J$2:J$29,0)))),1,0)</f>
        <v>0</v>
      </c>
      <c r="J175" s="17" t="str">
        <f aca="false">IF(NOT(ISBLANK(creatives!E176)),VLOOKUP(creatives!E176,data!M$2:N$38,2,0),"")</f>
        <v/>
      </c>
      <c r="K175" s="17" t="n">
        <f aca="false">IF(NOT(ISNUMBER(MATCH(J175,data!N$2:N$38,0))),1,0)</f>
        <v>1</v>
      </c>
      <c r="L175" s="18" t="str">
        <f aca="false">IF(NOT(ISBLANK(creatives!C176)),VLOOKUP(creatives!C176,data!$A$2:$B$705,2,0),"")</f>
        <v/>
      </c>
      <c r="M175" s="17" t="n">
        <f aca="false">IF(NOT(ISNUMBER(MATCH(L175,data!B$2:B$705,0))),1,0)</f>
        <v>1</v>
      </c>
      <c r="N175" s="19" t="b">
        <f aca="false">IF(NOT(A175),TRUE(),AND(A175,SUM(B175,C175,D175,E175,F175,G175,K175,M175,I175)=0))</f>
        <v>1</v>
      </c>
      <c r="O175" s="20" t="n">
        <v>174</v>
      </c>
      <c r="P175" s="19" t="b">
        <f aca="false">IF(A175,COUNTIF(A$2:A175, CONCATENATE("=", TRUE()))=O175, TRUE())</f>
        <v>1</v>
      </c>
      <c r="Q175" s="1" t="n">
        <f aca="false">IF(A175,O175,0)</f>
        <v>0</v>
      </c>
    </row>
    <row r="176" customFormat="false" ht="15.65" hidden="false" customHeight="false" outlineLevel="0" collapsed="false">
      <c r="A176" s="17" t="b">
        <f aca="false">COUNTIF(creatives!B177:J177, "*")&gt;0</f>
        <v>0</v>
      </c>
      <c r="B176" s="17" t="n">
        <f aca="false">IF(OR(NOT(ISTEXT(creatives!B177)), ISBLANK(creatives!B177), LEN(TRIM(creatives!B177))&gt;200), 1, 0)</f>
        <v>1</v>
      </c>
      <c r="C176" s="17" t="n">
        <f aca="false">IF(NOT(ISNUMBER(MATCH(creatives!D177,data!C$2:C$6,0))),1,0)</f>
        <v>1</v>
      </c>
      <c r="D176" s="17" t="n">
        <f aca="false">IF(OR(LEFT(creatives!G177,7)="http://",LEFT(creatives!G177,8)="https://"), 0, 1)</f>
        <v>1</v>
      </c>
      <c r="E176" s="17" t="n">
        <f aca="false">IF(OR(LEFT(creatives!H177,7)="http://",LEFT(creatives!H177,8)="https://"), 0, 1)</f>
        <v>1</v>
      </c>
      <c r="F176" s="17" t="n">
        <f aca="false">IF(NOT(ISNUMBER(MATCH(creatives!I177,data!G$2:G$6,0))),1,0)</f>
        <v>1</v>
      </c>
      <c r="G176" s="17" t="n">
        <f aca="false">IF(ISBLANK(creatives!J177), 1, 0)</f>
        <v>1</v>
      </c>
      <c r="H176" s="17" t="str">
        <f aca="false">IF(NOT(ISBLANK(creatives!F177)),VLOOKUP(creatives!F177,data!I$2:J$29,2,0),"")</f>
        <v/>
      </c>
      <c r="I176" s="17" t="n">
        <f aca="false">IF(AND(NOT(ISBLANK(creatives!F177)),NOT(ISNUMBER(MATCH(H176,data!J$2:J$29,0)))),1,0)</f>
        <v>0</v>
      </c>
      <c r="J176" s="17" t="str">
        <f aca="false">IF(NOT(ISBLANK(creatives!E177)),VLOOKUP(creatives!E177,data!M$2:N$38,2,0),"")</f>
        <v/>
      </c>
      <c r="K176" s="17" t="n">
        <f aca="false">IF(NOT(ISNUMBER(MATCH(J176,data!N$2:N$38,0))),1,0)</f>
        <v>1</v>
      </c>
      <c r="L176" s="18" t="str">
        <f aca="false">IF(NOT(ISBLANK(creatives!C177)),VLOOKUP(creatives!C177,data!$A$2:$B$705,2,0),"")</f>
        <v/>
      </c>
      <c r="M176" s="17" t="n">
        <f aca="false">IF(NOT(ISNUMBER(MATCH(L176,data!B$2:B$705,0))),1,0)</f>
        <v>1</v>
      </c>
      <c r="N176" s="19" t="b">
        <f aca="false">IF(NOT(A176),TRUE(),AND(A176,SUM(B176,C176,D176,E176,F176,G176,K176,M176,I176)=0))</f>
        <v>1</v>
      </c>
      <c r="O176" s="20" t="n">
        <v>175</v>
      </c>
      <c r="P176" s="19" t="b">
        <f aca="false">IF(A176,COUNTIF(A$2:A176, CONCATENATE("=", TRUE()))=O176, TRUE())</f>
        <v>1</v>
      </c>
      <c r="Q176" s="1" t="n">
        <f aca="false">IF(A176,O176,0)</f>
        <v>0</v>
      </c>
    </row>
    <row r="177" customFormat="false" ht="15.65" hidden="false" customHeight="false" outlineLevel="0" collapsed="false">
      <c r="A177" s="17" t="b">
        <f aca="false">COUNTIF(creatives!B178:J178, "*")&gt;0</f>
        <v>0</v>
      </c>
      <c r="B177" s="17" t="n">
        <f aca="false">IF(OR(NOT(ISTEXT(creatives!B178)), ISBLANK(creatives!B178), LEN(TRIM(creatives!B178))&gt;200), 1, 0)</f>
        <v>1</v>
      </c>
      <c r="C177" s="17" t="n">
        <f aca="false">IF(NOT(ISNUMBER(MATCH(creatives!D178,data!C$2:C$6,0))),1,0)</f>
        <v>1</v>
      </c>
      <c r="D177" s="17" t="n">
        <f aca="false">IF(OR(LEFT(creatives!G178,7)="http://",LEFT(creatives!G178,8)="https://"), 0, 1)</f>
        <v>1</v>
      </c>
      <c r="E177" s="17" t="n">
        <f aca="false">IF(OR(LEFT(creatives!H178,7)="http://",LEFT(creatives!H178,8)="https://"), 0, 1)</f>
        <v>1</v>
      </c>
      <c r="F177" s="17" t="n">
        <f aca="false">IF(NOT(ISNUMBER(MATCH(creatives!I178,data!G$2:G$6,0))),1,0)</f>
        <v>1</v>
      </c>
      <c r="G177" s="17" t="n">
        <f aca="false">IF(ISBLANK(creatives!J178), 1, 0)</f>
        <v>1</v>
      </c>
      <c r="H177" s="17" t="str">
        <f aca="false">IF(NOT(ISBLANK(creatives!F178)),VLOOKUP(creatives!F178,data!I$2:J$29,2,0),"")</f>
        <v/>
      </c>
      <c r="I177" s="17" t="n">
        <f aca="false">IF(AND(NOT(ISBLANK(creatives!F178)),NOT(ISNUMBER(MATCH(H177,data!J$2:J$29,0)))),1,0)</f>
        <v>0</v>
      </c>
      <c r="J177" s="17" t="str">
        <f aca="false">IF(NOT(ISBLANK(creatives!E178)),VLOOKUP(creatives!E178,data!M$2:N$38,2,0),"")</f>
        <v/>
      </c>
      <c r="K177" s="17" t="n">
        <f aca="false">IF(NOT(ISNUMBER(MATCH(J177,data!N$2:N$38,0))),1,0)</f>
        <v>1</v>
      </c>
      <c r="L177" s="18" t="str">
        <f aca="false">IF(NOT(ISBLANK(creatives!C178)),VLOOKUP(creatives!C178,data!$A$2:$B$705,2,0),"")</f>
        <v/>
      </c>
      <c r="M177" s="17" t="n">
        <f aca="false">IF(NOT(ISNUMBER(MATCH(L177,data!B$2:B$705,0))),1,0)</f>
        <v>1</v>
      </c>
      <c r="N177" s="19" t="b">
        <f aca="false">IF(NOT(A177),TRUE(),AND(A177,SUM(B177,C177,D177,E177,F177,G177,K177,M177,I177)=0))</f>
        <v>1</v>
      </c>
      <c r="O177" s="20" t="n">
        <v>176</v>
      </c>
      <c r="P177" s="19" t="b">
        <f aca="false">IF(A177,COUNTIF(A$2:A177, CONCATENATE("=", TRUE()))=O177, TRUE())</f>
        <v>1</v>
      </c>
      <c r="Q177" s="1" t="n">
        <f aca="false">IF(A177,O177,0)</f>
        <v>0</v>
      </c>
    </row>
    <row r="178" customFormat="false" ht="15.65" hidden="false" customHeight="false" outlineLevel="0" collapsed="false">
      <c r="A178" s="17" t="b">
        <f aca="false">COUNTIF(creatives!B179:J179, "*")&gt;0</f>
        <v>0</v>
      </c>
      <c r="B178" s="17" t="n">
        <f aca="false">IF(OR(NOT(ISTEXT(creatives!B179)), ISBLANK(creatives!B179), LEN(TRIM(creatives!B179))&gt;200), 1, 0)</f>
        <v>1</v>
      </c>
      <c r="C178" s="17" t="n">
        <f aca="false">IF(NOT(ISNUMBER(MATCH(creatives!D179,data!C$2:C$6,0))),1,0)</f>
        <v>1</v>
      </c>
      <c r="D178" s="17" t="n">
        <f aca="false">IF(OR(LEFT(creatives!G179,7)="http://",LEFT(creatives!G179,8)="https://"), 0, 1)</f>
        <v>1</v>
      </c>
      <c r="E178" s="17" t="n">
        <f aca="false">IF(OR(LEFT(creatives!H179,7)="http://",LEFT(creatives!H179,8)="https://"), 0, 1)</f>
        <v>1</v>
      </c>
      <c r="F178" s="17" t="n">
        <f aca="false">IF(NOT(ISNUMBER(MATCH(creatives!I179,data!G$2:G$6,0))),1,0)</f>
        <v>1</v>
      </c>
      <c r="G178" s="17" t="n">
        <f aca="false">IF(ISBLANK(creatives!J179), 1, 0)</f>
        <v>1</v>
      </c>
      <c r="H178" s="17" t="str">
        <f aca="false">IF(NOT(ISBLANK(creatives!F179)),VLOOKUP(creatives!F179,data!I$2:J$29,2,0),"")</f>
        <v/>
      </c>
      <c r="I178" s="17" t="n">
        <f aca="false">IF(AND(NOT(ISBLANK(creatives!F179)),NOT(ISNUMBER(MATCH(H178,data!J$2:J$29,0)))),1,0)</f>
        <v>0</v>
      </c>
      <c r="J178" s="17" t="str">
        <f aca="false">IF(NOT(ISBLANK(creatives!E179)),VLOOKUP(creatives!E179,data!M$2:N$38,2,0),"")</f>
        <v/>
      </c>
      <c r="K178" s="17" t="n">
        <f aca="false">IF(NOT(ISNUMBER(MATCH(J178,data!N$2:N$38,0))),1,0)</f>
        <v>1</v>
      </c>
      <c r="L178" s="18" t="str">
        <f aca="false">IF(NOT(ISBLANK(creatives!C179)),VLOOKUP(creatives!C179,data!$A$2:$B$705,2,0),"")</f>
        <v/>
      </c>
      <c r="M178" s="17" t="n">
        <f aca="false">IF(NOT(ISNUMBER(MATCH(L178,data!B$2:B$705,0))),1,0)</f>
        <v>1</v>
      </c>
      <c r="N178" s="19" t="b">
        <f aca="false">IF(NOT(A178),TRUE(),AND(A178,SUM(B178,C178,D178,E178,F178,G178,K178,M178,I178)=0))</f>
        <v>1</v>
      </c>
      <c r="O178" s="20" t="n">
        <v>177</v>
      </c>
      <c r="P178" s="19" t="b">
        <f aca="false">IF(A178,COUNTIF(A$2:A178, CONCATENATE("=", TRUE()))=O178, TRUE())</f>
        <v>1</v>
      </c>
      <c r="Q178" s="1" t="n">
        <f aca="false">IF(A178,O178,0)</f>
        <v>0</v>
      </c>
    </row>
    <row r="179" customFormat="false" ht="15.65" hidden="false" customHeight="false" outlineLevel="0" collapsed="false">
      <c r="A179" s="17" t="b">
        <f aca="false">COUNTIF(creatives!B180:J180, "*")&gt;0</f>
        <v>0</v>
      </c>
      <c r="B179" s="17" t="n">
        <f aca="false">IF(OR(NOT(ISTEXT(creatives!B180)), ISBLANK(creatives!B180), LEN(TRIM(creatives!B180))&gt;200), 1, 0)</f>
        <v>1</v>
      </c>
      <c r="C179" s="17" t="n">
        <f aca="false">IF(NOT(ISNUMBER(MATCH(creatives!D180,data!C$2:C$6,0))),1,0)</f>
        <v>1</v>
      </c>
      <c r="D179" s="17" t="n">
        <f aca="false">IF(OR(LEFT(creatives!G180,7)="http://",LEFT(creatives!G180,8)="https://"), 0, 1)</f>
        <v>1</v>
      </c>
      <c r="E179" s="17" t="n">
        <f aca="false">IF(OR(LEFT(creatives!H180,7)="http://",LEFT(creatives!H180,8)="https://"), 0, 1)</f>
        <v>1</v>
      </c>
      <c r="F179" s="17" t="n">
        <f aca="false">IF(NOT(ISNUMBER(MATCH(creatives!I180,data!G$2:G$6,0))),1,0)</f>
        <v>1</v>
      </c>
      <c r="G179" s="17" t="n">
        <f aca="false">IF(ISBLANK(creatives!J180), 1, 0)</f>
        <v>1</v>
      </c>
      <c r="H179" s="17" t="str">
        <f aca="false">IF(NOT(ISBLANK(creatives!F180)),VLOOKUP(creatives!F180,data!I$2:J$29,2,0),"")</f>
        <v/>
      </c>
      <c r="I179" s="17" t="n">
        <f aca="false">IF(AND(NOT(ISBLANK(creatives!F180)),NOT(ISNUMBER(MATCH(H179,data!J$2:J$29,0)))),1,0)</f>
        <v>0</v>
      </c>
      <c r="J179" s="17" t="str">
        <f aca="false">IF(NOT(ISBLANK(creatives!E180)),VLOOKUP(creatives!E180,data!M$2:N$38,2,0),"")</f>
        <v/>
      </c>
      <c r="K179" s="17" t="n">
        <f aca="false">IF(NOT(ISNUMBER(MATCH(J179,data!N$2:N$38,0))),1,0)</f>
        <v>1</v>
      </c>
      <c r="L179" s="18" t="str">
        <f aca="false">IF(NOT(ISBLANK(creatives!C180)),VLOOKUP(creatives!C180,data!$A$2:$B$705,2,0),"")</f>
        <v/>
      </c>
      <c r="M179" s="17" t="n">
        <f aca="false">IF(NOT(ISNUMBER(MATCH(L179,data!B$2:B$705,0))),1,0)</f>
        <v>1</v>
      </c>
      <c r="N179" s="19" t="b">
        <f aca="false">IF(NOT(A179),TRUE(),AND(A179,SUM(B179,C179,D179,E179,F179,G179,K179,M179,I179)=0))</f>
        <v>1</v>
      </c>
      <c r="O179" s="20" t="n">
        <v>178</v>
      </c>
      <c r="P179" s="19" t="b">
        <f aca="false">IF(A179,COUNTIF(A$2:A179, CONCATENATE("=", TRUE()))=O179, TRUE())</f>
        <v>1</v>
      </c>
      <c r="Q179" s="1" t="n">
        <f aca="false">IF(A179,O179,0)</f>
        <v>0</v>
      </c>
    </row>
    <row r="180" customFormat="false" ht="15.65" hidden="false" customHeight="false" outlineLevel="0" collapsed="false">
      <c r="A180" s="17" t="b">
        <f aca="false">COUNTIF(creatives!B181:J181, "*")&gt;0</f>
        <v>0</v>
      </c>
      <c r="B180" s="17" t="n">
        <f aca="false">IF(OR(NOT(ISTEXT(creatives!B181)), ISBLANK(creatives!B181), LEN(TRIM(creatives!B181))&gt;200), 1, 0)</f>
        <v>1</v>
      </c>
      <c r="C180" s="17" t="n">
        <f aca="false">IF(NOT(ISNUMBER(MATCH(creatives!D181,data!C$2:C$6,0))),1,0)</f>
        <v>1</v>
      </c>
      <c r="D180" s="17" t="n">
        <f aca="false">IF(OR(LEFT(creatives!G181,7)="http://",LEFT(creatives!G181,8)="https://"), 0, 1)</f>
        <v>1</v>
      </c>
      <c r="E180" s="17" t="n">
        <f aca="false">IF(OR(LEFT(creatives!H181,7)="http://",LEFT(creatives!H181,8)="https://"), 0, 1)</f>
        <v>1</v>
      </c>
      <c r="F180" s="17" t="n">
        <f aca="false">IF(NOT(ISNUMBER(MATCH(creatives!I181,data!G$2:G$6,0))),1,0)</f>
        <v>1</v>
      </c>
      <c r="G180" s="17" t="n">
        <f aca="false">IF(ISBLANK(creatives!J181), 1, 0)</f>
        <v>1</v>
      </c>
      <c r="H180" s="17" t="str">
        <f aca="false">IF(NOT(ISBLANK(creatives!F181)),VLOOKUP(creatives!F181,data!I$2:J$29,2,0),"")</f>
        <v/>
      </c>
      <c r="I180" s="17" t="n">
        <f aca="false">IF(AND(NOT(ISBLANK(creatives!F181)),NOT(ISNUMBER(MATCH(H180,data!J$2:J$29,0)))),1,0)</f>
        <v>0</v>
      </c>
      <c r="J180" s="17" t="str">
        <f aca="false">IF(NOT(ISBLANK(creatives!E181)),VLOOKUP(creatives!E181,data!M$2:N$38,2,0),"")</f>
        <v/>
      </c>
      <c r="K180" s="17" t="n">
        <f aca="false">IF(NOT(ISNUMBER(MATCH(J180,data!N$2:N$38,0))),1,0)</f>
        <v>1</v>
      </c>
      <c r="L180" s="18" t="str">
        <f aca="false">IF(NOT(ISBLANK(creatives!C181)),VLOOKUP(creatives!C181,data!$A$2:$B$705,2,0),"")</f>
        <v/>
      </c>
      <c r="M180" s="17" t="n">
        <f aca="false">IF(NOT(ISNUMBER(MATCH(L180,data!B$2:B$705,0))),1,0)</f>
        <v>1</v>
      </c>
      <c r="N180" s="19" t="b">
        <f aca="false">IF(NOT(A180),TRUE(),AND(A180,SUM(B180,C180,D180,E180,F180,G180,K180,M180,I180)=0))</f>
        <v>1</v>
      </c>
      <c r="O180" s="20" t="n">
        <v>179</v>
      </c>
      <c r="P180" s="19" t="b">
        <f aca="false">IF(A180,COUNTIF(A$2:A180, CONCATENATE("=", TRUE()))=O180, TRUE())</f>
        <v>1</v>
      </c>
      <c r="Q180" s="1" t="n">
        <f aca="false">IF(A180,O180,0)</f>
        <v>0</v>
      </c>
    </row>
    <row r="181" customFormat="false" ht="15.65" hidden="false" customHeight="false" outlineLevel="0" collapsed="false">
      <c r="A181" s="17" t="b">
        <f aca="false">COUNTIF(creatives!B182:J182, "*")&gt;0</f>
        <v>0</v>
      </c>
      <c r="B181" s="17" t="n">
        <f aca="false">IF(OR(NOT(ISTEXT(creatives!B182)), ISBLANK(creatives!B182), LEN(TRIM(creatives!B182))&gt;200), 1, 0)</f>
        <v>1</v>
      </c>
      <c r="C181" s="17" t="n">
        <f aca="false">IF(NOT(ISNUMBER(MATCH(creatives!D182,data!C$2:C$6,0))),1,0)</f>
        <v>1</v>
      </c>
      <c r="D181" s="17" t="n">
        <f aca="false">IF(OR(LEFT(creatives!G182,7)="http://",LEFT(creatives!G182,8)="https://"), 0, 1)</f>
        <v>1</v>
      </c>
      <c r="E181" s="17" t="n">
        <f aca="false">IF(OR(LEFT(creatives!H182,7)="http://",LEFT(creatives!H182,8)="https://"), 0, 1)</f>
        <v>1</v>
      </c>
      <c r="F181" s="17" t="n">
        <f aca="false">IF(NOT(ISNUMBER(MATCH(creatives!I182,data!G$2:G$6,0))),1,0)</f>
        <v>1</v>
      </c>
      <c r="G181" s="17" t="n">
        <f aca="false">IF(ISBLANK(creatives!J182), 1, 0)</f>
        <v>1</v>
      </c>
      <c r="H181" s="17" t="str">
        <f aca="false">IF(NOT(ISBLANK(creatives!F182)),VLOOKUP(creatives!F182,data!I$2:J$29,2,0),"")</f>
        <v/>
      </c>
      <c r="I181" s="17" t="n">
        <f aca="false">IF(AND(NOT(ISBLANK(creatives!F182)),NOT(ISNUMBER(MATCH(H181,data!J$2:J$29,0)))),1,0)</f>
        <v>0</v>
      </c>
      <c r="J181" s="17" t="str">
        <f aca="false">IF(NOT(ISBLANK(creatives!E182)),VLOOKUP(creatives!E182,data!M$2:N$38,2,0),"")</f>
        <v/>
      </c>
      <c r="K181" s="17" t="n">
        <f aca="false">IF(NOT(ISNUMBER(MATCH(J181,data!N$2:N$38,0))),1,0)</f>
        <v>1</v>
      </c>
      <c r="L181" s="18" t="str">
        <f aca="false">IF(NOT(ISBLANK(creatives!C182)),VLOOKUP(creatives!C182,data!$A$2:$B$705,2,0),"")</f>
        <v/>
      </c>
      <c r="M181" s="17" t="n">
        <f aca="false">IF(NOT(ISNUMBER(MATCH(L181,data!B$2:B$705,0))),1,0)</f>
        <v>1</v>
      </c>
      <c r="N181" s="19" t="b">
        <f aca="false">IF(NOT(A181),TRUE(),AND(A181,SUM(B181,C181,D181,E181,F181,G181,K181,M181,I181)=0))</f>
        <v>1</v>
      </c>
      <c r="O181" s="20" t="n">
        <v>180</v>
      </c>
      <c r="P181" s="19" t="b">
        <f aca="false">IF(A181,COUNTIF(A$2:A181, CONCATENATE("=", TRUE()))=O181, TRUE())</f>
        <v>1</v>
      </c>
      <c r="Q181" s="1" t="n">
        <f aca="false">IF(A181,O181,0)</f>
        <v>0</v>
      </c>
    </row>
    <row r="182" customFormat="false" ht="15.65" hidden="false" customHeight="false" outlineLevel="0" collapsed="false">
      <c r="A182" s="17" t="b">
        <f aca="false">COUNTIF(creatives!B183:J183, "*")&gt;0</f>
        <v>0</v>
      </c>
      <c r="B182" s="17" t="n">
        <f aca="false">IF(OR(NOT(ISTEXT(creatives!B183)), ISBLANK(creatives!B183), LEN(TRIM(creatives!B183))&gt;200), 1, 0)</f>
        <v>1</v>
      </c>
      <c r="C182" s="17" t="n">
        <f aca="false">IF(NOT(ISNUMBER(MATCH(creatives!D183,data!C$2:C$6,0))),1,0)</f>
        <v>1</v>
      </c>
      <c r="D182" s="17" t="n">
        <f aca="false">IF(OR(LEFT(creatives!G183,7)="http://",LEFT(creatives!G183,8)="https://"), 0, 1)</f>
        <v>1</v>
      </c>
      <c r="E182" s="17" t="n">
        <f aca="false">IF(OR(LEFT(creatives!H183,7)="http://",LEFT(creatives!H183,8)="https://"), 0, 1)</f>
        <v>1</v>
      </c>
      <c r="F182" s="17" t="n">
        <f aca="false">IF(NOT(ISNUMBER(MATCH(creatives!I183,data!G$2:G$6,0))),1,0)</f>
        <v>1</v>
      </c>
      <c r="G182" s="17" t="n">
        <f aca="false">IF(ISBLANK(creatives!J183), 1, 0)</f>
        <v>1</v>
      </c>
      <c r="H182" s="17" t="str">
        <f aca="false">IF(NOT(ISBLANK(creatives!F183)),VLOOKUP(creatives!F183,data!I$2:J$29,2,0),"")</f>
        <v/>
      </c>
      <c r="I182" s="17" t="n">
        <f aca="false">IF(AND(NOT(ISBLANK(creatives!F183)),NOT(ISNUMBER(MATCH(H182,data!J$2:J$29,0)))),1,0)</f>
        <v>0</v>
      </c>
      <c r="J182" s="17" t="str">
        <f aca="false">IF(NOT(ISBLANK(creatives!E183)),VLOOKUP(creatives!E183,data!M$2:N$38,2,0),"")</f>
        <v/>
      </c>
      <c r="K182" s="17" t="n">
        <f aca="false">IF(NOT(ISNUMBER(MATCH(J182,data!N$2:N$38,0))),1,0)</f>
        <v>1</v>
      </c>
      <c r="L182" s="18" t="str">
        <f aca="false">IF(NOT(ISBLANK(creatives!C183)),VLOOKUP(creatives!C183,data!$A$2:$B$705,2,0),"")</f>
        <v/>
      </c>
      <c r="M182" s="17" t="n">
        <f aca="false">IF(NOT(ISNUMBER(MATCH(L182,data!B$2:B$705,0))),1,0)</f>
        <v>1</v>
      </c>
      <c r="N182" s="19" t="b">
        <f aca="false">IF(NOT(A182),TRUE(),AND(A182,SUM(B182,C182,D182,E182,F182,G182,K182,M182,I182)=0))</f>
        <v>1</v>
      </c>
      <c r="O182" s="20" t="n">
        <v>181</v>
      </c>
      <c r="P182" s="19" t="b">
        <f aca="false">IF(A182,COUNTIF(A$2:A182, CONCATENATE("=", TRUE()))=O182, TRUE())</f>
        <v>1</v>
      </c>
      <c r="Q182" s="1" t="n">
        <f aca="false">IF(A182,O182,0)</f>
        <v>0</v>
      </c>
    </row>
    <row r="183" customFormat="false" ht="15.65" hidden="false" customHeight="false" outlineLevel="0" collapsed="false">
      <c r="A183" s="17" t="b">
        <f aca="false">COUNTIF(creatives!B184:J184, "*")&gt;0</f>
        <v>0</v>
      </c>
      <c r="B183" s="17" t="n">
        <f aca="false">IF(OR(NOT(ISTEXT(creatives!B184)), ISBLANK(creatives!B184), LEN(TRIM(creatives!B184))&gt;200), 1, 0)</f>
        <v>1</v>
      </c>
      <c r="C183" s="17" t="n">
        <f aca="false">IF(NOT(ISNUMBER(MATCH(creatives!D184,data!C$2:C$6,0))),1,0)</f>
        <v>1</v>
      </c>
      <c r="D183" s="17" t="n">
        <f aca="false">IF(OR(LEFT(creatives!G184,7)="http://",LEFT(creatives!G184,8)="https://"), 0, 1)</f>
        <v>1</v>
      </c>
      <c r="E183" s="17" t="n">
        <f aca="false">IF(OR(LEFT(creatives!H184,7)="http://",LEFT(creatives!H184,8)="https://"), 0, 1)</f>
        <v>1</v>
      </c>
      <c r="F183" s="17" t="n">
        <f aca="false">IF(NOT(ISNUMBER(MATCH(creatives!I184,data!G$2:G$6,0))),1,0)</f>
        <v>1</v>
      </c>
      <c r="G183" s="17" t="n">
        <f aca="false">IF(ISBLANK(creatives!J184), 1, 0)</f>
        <v>1</v>
      </c>
      <c r="H183" s="17" t="str">
        <f aca="false">IF(NOT(ISBLANK(creatives!F184)),VLOOKUP(creatives!F184,data!I$2:J$29,2,0),"")</f>
        <v/>
      </c>
      <c r="I183" s="17" t="n">
        <f aca="false">IF(AND(NOT(ISBLANK(creatives!F184)),NOT(ISNUMBER(MATCH(H183,data!J$2:J$29,0)))),1,0)</f>
        <v>0</v>
      </c>
      <c r="J183" s="17" t="str">
        <f aca="false">IF(NOT(ISBLANK(creatives!E184)),VLOOKUP(creatives!E184,data!M$2:N$38,2,0),"")</f>
        <v/>
      </c>
      <c r="K183" s="17" t="n">
        <f aca="false">IF(NOT(ISNUMBER(MATCH(J183,data!N$2:N$38,0))),1,0)</f>
        <v>1</v>
      </c>
      <c r="L183" s="18" t="str">
        <f aca="false">IF(NOT(ISBLANK(creatives!C184)),VLOOKUP(creatives!C184,data!$A$2:$B$705,2,0),"")</f>
        <v/>
      </c>
      <c r="M183" s="17" t="n">
        <f aca="false">IF(NOT(ISNUMBER(MATCH(L183,data!B$2:B$705,0))),1,0)</f>
        <v>1</v>
      </c>
      <c r="N183" s="19" t="b">
        <f aca="false">IF(NOT(A183),TRUE(),AND(A183,SUM(B183,C183,D183,E183,F183,G183,K183,M183,I183)=0))</f>
        <v>1</v>
      </c>
      <c r="O183" s="20" t="n">
        <v>182</v>
      </c>
      <c r="P183" s="19" t="b">
        <f aca="false">IF(A183,COUNTIF(A$2:A183, CONCATENATE("=", TRUE()))=O183, TRUE())</f>
        <v>1</v>
      </c>
      <c r="Q183" s="1" t="n">
        <f aca="false">IF(A183,O183,0)</f>
        <v>0</v>
      </c>
    </row>
    <row r="184" customFormat="false" ht="15.65" hidden="false" customHeight="false" outlineLevel="0" collapsed="false">
      <c r="A184" s="17" t="b">
        <f aca="false">COUNTIF(creatives!B185:J185, "*")&gt;0</f>
        <v>0</v>
      </c>
      <c r="B184" s="17" t="n">
        <f aca="false">IF(OR(NOT(ISTEXT(creatives!B185)), ISBLANK(creatives!B185), LEN(TRIM(creatives!B185))&gt;200), 1, 0)</f>
        <v>1</v>
      </c>
      <c r="C184" s="17" t="n">
        <f aca="false">IF(NOT(ISNUMBER(MATCH(creatives!D185,data!C$2:C$6,0))),1,0)</f>
        <v>1</v>
      </c>
      <c r="D184" s="17" t="n">
        <f aca="false">IF(OR(LEFT(creatives!G185,7)="http://",LEFT(creatives!G185,8)="https://"), 0, 1)</f>
        <v>1</v>
      </c>
      <c r="E184" s="17" t="n">
        <f aca="false">IF(OR(LEFT(creatives!H185,7)="http://",LEFT(creatives!H185,8)="https://"), 0, 1)</f>
        <v>1</v>
      </c>
      <c r="F184" s="17" t="n">
        <f aca="false">IF(NOT(ISNUMBER(MATCH(creatives!I185,data!G$2:G$6,0))),1,0)</f>
        <v>1</v>
      </c>
      <c r="G184" s="17" t="n">
        <f aca="false">IF(ISBLANK(creatives!J185), 1, 0)</f>
        <v>1</v>
      </c>
      <c r="H184" s="17" t="str">
        <f aca="false">IF(NOT(ISBLANK(creatives!F185)),VLOOKUP(creatives!F185,data!I$2:J$29,2,0),"")</f>
        <v/>
      </c>
      <c r="I184" s="17" t="n">
        <f aca="false">IF(AND(NOT(ISBLANK(creatives!F185)),NOT(ISNUMBER(MATCH(H184,data!J$2:J$29,0)))),1,0)</f>
        <v>0</v>
      </c>
      <c r="J184" s="17" t="str">
        <f aca="false">IF(NOT(ISBLANK(creatives!E185)),VLOOKUP(creatives!E185,data!M$2:N$38,2,0),"")</f>
        <v/>
      </c>
      <c r="K184" s="17" t="n">
        <f aca="false">IF(NOT(ISNUMBER(MATCH(J184,data!N$2:N$38,0))),1,0)</f>
        <v>1</v>
      </c>
      <c r="L184" s="18" t="str">
        <f aca="false">IF(NOT(ISBLANK(creatives!C185)),VLOOKUP(creatives!C185,data!$A$2:$B$705,2,0),"")</f>
        <v/>
      </c>
      <c r="M184" s="17" t="n">
        <f aca="false">IF(NOT(ISNUMBER(MATCH(L184,data!B$2:B$705,0))),1,0)</f>
        <v>1</v>
      </c>
      <c r="N184" s="19" t="b">
        <f aca="false">IF(NOT(A184),TRUE(),AND(A184,SUM(B184,C184,D184,E184,F184,G184,K184,M184,I184)=0))</f>
        <v>1</v>
      </c>
      <c r="O184" s="20" t="n">
        <v>183</v>
      </c>
      <c r="P184" s="19" t="b">
        <f aca="false">IF(A184,COUNTIF(A$2:A184, CONCATENATE("=", TRUE()))=O184, TRUE())</f>
        <v>1</v>
      </c>
      <c r="Q184" s="1" t="n">
        <f aca="false">IF(A184,O184,0)</f>
        <v>0</v>
      </c>
    </row>
    <row r="185" customFormat="false" ht="15.65" hidden="false" customHeight="false" outlineLevel="0" collapsed="false">
      <c r="A185" s="17" t="b">
        <f aca="false">COUNTIF(creatives!B186:J186, "*")&gt;0</f>
        <v>0</v>
      </c>
      <c r="B185" s="17" t="n">
        <f aca="false">IF(OR(NOT(ISTEXT(creatives!B186)), ISBLANK(creatives!B186), LEN(TRIM(creatives!B186))&gt;200), 1, 0)</f>
        <v>1</v>
      </c>
      <c r="C185" s="17" t="n">
        <f aca="false">IF(NOT(ISNUMBER(MATCH(creatives!D186,data!C$2:C$6,0))),1,0)</f>
        <v>1</v>
      </c>
      <c r="D185" s="17" t="n">
        <f aca="false">IF(OR(LEFT(creatives!G186,7)="http://",LEFT(creatives!G186,8)="https://"), 0, 1)</f>
        <v>1</v>
      </c>
      <c r="E185" s="17" t="n">
        <f aca="false">IF(OR(LEFT(creatives!H186,7)="http://",LEFT(creatives!H186,8)="https://"), 0, 1)</f>
        <v>1</v>
      </c>
      <c r="F185" s="17" t="n">
        <f aca="false">IF(NOT(ISNUMBER(MATCH(creatives!I186,data!G$2:G$6,0))),1,0)</f>
        <v>1</v>
      </c>
      <c r="G185" s="17" t="n">
        <f aca="false">IF(ISBLANK(creatives!J186), 1, 0)</f>
        <v>1</v>
      </c>
      <c r="H185" s="17" t="str">
        <f aca="false">IF(NOT(ISBLANK(creatives!F186)),VLOOKUP(creatives!F186,data!I$2:J$29,2,0),"")</f>
        <v/>
      </c>
      <c r="I185" s="17" t="n">
        <f aca="false">IF(AND(NOT(ISBLANK(creatives!F186)),NOT(ISNUMBER(MATCH(H185,data!J$2:J$29,0)))),1,0)</f>
        <v>0</v>
      </c>
      <c r="J185" s="17" t="str">
        <f aca="false">IF(NOT(ISBLANK(creatives!E186)),VLOOKUP(creatives!E186,data!M$2:N$38,2,0),"")</f>
        <v/>
      </c>
      <c r="K185" s="17" t="n">
        <f aca="false">IF(NOT(ISNUMBER(MATCH(J185,data!N$2:N$38,0))),1,0)</f>
        <v>1</v>
      </c>
      <c r="L185" s="18" t="str">
        <f aca="false">IF(NOT(ISBLANK(creatives!C186)),VLOOKUP(creatives!C186,data!$A$2:$B$705,2,0),"")</f>
        <v/>
      </c>
      <c r="M185" s="17" t="n">
        <f aca="false">IF(NOT(ISNUMBER(MATCH(L185,data!B$2:B$705,0))),1,0)</f>
        <v>1</v>
      </c>
      <c r="N185" s="19" t="b">
        <f aca="false">IF(NOT(A185),TRUE(),AND(A185,SUM(B185,C185,D185,E185,F185,G185,K185,M185,I185)=0))</f>
        <v>1</v>
      </c>
      <c r="O185" s="20" t="n">
        <v>184</v>
      </c>
      <c r="P185" s="19" t="b">
        <f aca="false">IF(A185,COUNTIF(A$2:A185, CONCATENATE("=", TRUE()))=O185, TRUE())</f>
        <v>1</v>
      </c>
      <c r="Q185" s="1" t="n">
        <f aca="false">IF(A185,O185,0)</f>
        <v>0</v>
      </c>
    </row>
    <row r="186" customFormat="false" ht="15.65" hidden="false" customHeight="false" outlineLevel="0" collapsed="false">
      <c r="A186" s="17" t="b">
        <f aca="false">COUNTIF(creatives!B187:J187, "*")&gt;0</f>
        <v>0</v>
      </c>
      <c r="B186" s="17" t="n">
        <f aca="false">IF(OR(NOT(ISTEXT(creatives!B187)), ISBLANK(creatives!B187), LEN(TRIM(creatives!B187))&gt;200), 1, 0)</f>
        <v>1</v>
      </c>
      <c r="C186" s="17" t="n">
        <f aca="false">IF(NOT(ISNUMBER(MATCH(creatives!D187,data!C$2:C$6,0))),1,0)</f>
        <v>1</v>
      </c>
      <c r="D186" s="17" t="n">
        <f aca="false">IF(OR(LEFT(creatives!G187,7)="http://",LEFT(creatives!G187,8)="https://"), 0, 1)</f>
        <v>1</v>
      </c>
      <c r="E186" s="17" t="n">
        <f aca="false">IF(OR(LEFT(creatives!H187,7)="http://",LEFT(creatives!H187,8)="https://"), 0, 1)</f>
        <v>1</v>
      </c>
      <c r="F186" s="17" t="n">
        <f aca="false">IF(NOT(ISNUMBER(MATCH(creatives!I187,data!G$2:G$6,0))),1,0)</f>
        <v>1</v>
      </c>
      <c r="G186" s="17" t="n">
        <f aca="false">IF(ISBLANK(creatives!J187), 1, 0)</f>
        <v>1</v>
      </c>
      <c r="H186" s="17" t="str">
        <f aca="false">IF(NOT(ISBLANK(creatives!F187)),VLOOKUP(creatives!F187,data!I$2:J$29,2,0),"")</f>
        <v/>
      </c>
      <c r="I186" s="17" t="n">
        <f aca="false">IF(AND(NOT(ISBLANK(creatives!F187)),NOT(ISNUMBER(MATCH(H186,data!J$2:J$29,0)))),1,0)</f>
        <v>0</v>
      </c>
      <c r="J186" s="17" t="str">
        <f aca="false">IF(NOT(ISBLANK(creatives!E187)),VLOOKUP(creatives!E187,data!M$2:N$38,2,0),"")</f>
        <v/>
      </c>
      <c r="K186" s="17" t="n">
        <f aca="false">IF(NOT(ISNUMBER(MATCH(J186,data!N$2:N$38,0))),1,0)</f>
        <v>1</v>
      </c>
      <c r="L186" s="18" t="str">
        <f aca="false">IF(NOT(ISBLANK(creatives!C187)),VLOOKUP(creatives!C187,data!$A$2:$B$705,2,0),"")</f>
        <v/>
      </c>
      <c r="M186" s="17" t="n">
        <f aca="false">IF(NOT(ISNUMBER(MATCH(L186,data!B$2:B$705,0))),1,0)</f>
        <v>1</v>
      </c>
      <c r="N186" s="19" t="b">
        <f aca="false">IF(NOT(A186),TRUE(),AND(A186,SUM(B186,C186,D186,E186,F186,G186,K186,M186,I186)=0))</f>
        <v>1</v>
      </c>
      <c r="O186" s="20" t="n">
        <v>185</v>
      </c>
      <c r="P186" s="19" t="b">
        <f aca="false">IF(A186,COUNTIF(A$2:A186, CONCATENATE("=", TRUE()))=O186, TRUE())</f>
        <v>1</v>
      </c>
      <c r="Q186" s="1" t="n">
        <f aca="false">IF(A186,O186,0)</f>
        <v>0</v>
      </c>
    </row>
    <row r="187" customFormat="false" ht="15.65" hidden="false" customHeight="false" outlineLevel="0" collapsed="false">
      <c r="A187" s="17" t="b">
        <f aca="false">COUNTIF(creatives!B188:J188, "*")&gt;0</f>
        <v>0</v>
      </c>
      <c r="B187" s="17" t="n">
        <f aca="false">IF(OR(NOT(ISTEXT(creatives!B188)), ISBLANK(creatives!B188), LEN(TRIM(creatives!B188))&gt;200), 1, 0)</f>
        <v>1</v>
      </c>
      <c r="C187" s="17" t="n">
        <f aca="false">IF(NOT(ISNUMBER(MATCH(creatives!D188,data!C$2:C$6,0))),1,0)</f>
        <v>1</v>
      </c>
      <c r="D187" s="17" t="n">
        <f aca="false">IF(OR(LEFT(creatives!G188,7)="http://",LEFT(creatives!G188,8)="https://"), 0, 1)</f>
        <v>1</v>
      </c>
      <c r="E187" s="17" t="n">
        <f aca="false">IF(OR(LEFT(creatives!H188,7)="http://",LEFT(creatives!H188,8)="https://"), 0, 1)</f>
        <v>1</v>
      </c>
      <c r="F187" s="17" t="n">
        <f aca="false">IF(NOT(ISNUMBER(MATCH(creatives!I188,data!G$2:G$6,0))),1,0)</f>
        <v>1</v>
      </c>
      <c r="G187" s="17" t="n">
        <f aca="false">IF(ISBLANK(creatives!J188), 1, 0)</f>
        <v>1</v>
      </c>
      <c r="H187" s="17" t="str">
        <f aca="false">IF(NOT(ISBLANK(creatives!F188)),VLOOKUP(creatives!F188,data!I$2:J$29,2,0),"")</f>
        <v/>
      </c>
      <c r="I187" s="17" t="n">
        <f aca="false">IF(AND(NOT(ISBLANK(creatives!F188)),NOT(ISNUMBER(MATCH(H187,data!J$2:J$29,0)))),1,0)</f>
        <v>0</v>
      </c>
      <c r="J187" s="17" t="str">
        <f aca="false">IF(NOT(ISBLANK(creatives!E188)),VLOOKUP(creatives!E188,data!M$2:N$38,2,0),"")</f>
        <v/>
      </c>
      <c r="K187" s="17" t="n">
        <f aca="false">IF(NOT(ISNUMBER(MATCH(J187,data!N$2:N$38,0))),1,0)</f>
        <v>1</v>
      </c>
      <c r="L187" s="18" t="str">
        <f aca="false">IF(NOT(ISBLANK(creatives!C188)),VLOOKUP(creatives!C188,data!$A$2:$B$705,2,0),"")</f>
        <v/>
      </c>
      <c r="M187" s="17" t="n">
        <f aca="false">IF(NOT(ISNUMBER(MATCH(L187,data!B$2:B$705,0))),1,0)</f>
        <v>1</v>
      </c>
      <c r="N187" s="19" t="b">
        <f aca="false">IF(NOT(A187),TRUE(),AND(A187,SUM(B187,C187,D187,E187,F187,G187,K187,M187,I187)=0))</f>
        <v>1</v>
      </c>
      <c r="O187" s="20" t="n">
        <v>186</v>
      </c>
      <c r="P187" s="19" t="b">
        <f aca="false">IF(A187,COUNTIF(A$2:A187, CONCATENATE("=", TRUE()))=O187, TRUE())</f>
        <v>1</v>
      </c>
      <c r="Q187" s="1" t="n">
        <f aca="false">IF(A187,O187,0)</f>
        <v>0</v>
      </c>
    </row>
    <row r="188" customFormat="false" ht="15.65" hidden="false" customHeight="false" outlineLevel="0" collapsed="false">
      <c r="A188" s="17" t="b">
        <f aca="false">COUNTIF(creatives!B189:J189, "*")&gt;0</f>
        <v>0</v>
      </c>
      <c r="B188" s="17" t="n">
        <f aca="false">IF(OR(NOT(ISTEXT(creatives!B189)), ISBLANK(creatives!B189), LEN(TRIM(creatives!B189))&gt;200), 1, 0)</f>
        <v>1</v>
      </c>
      <c r="C188" s="17" t="n">
        <f aca="false">IF(NOT(ISNUMBER(MATCH(creatives!D189,data!C$2:C$6,0))),1,0)</f>
        <v>1</v>
      </c>
      <c r="D188" s="17" t="n">
        <f aca="false">IF(OR(LEFT(creatives!G189,7)="http://",LEFT(creatives!G189,8)="https://"), 0, 1)</f>
        <v>1</v>
      </c>
      <c r="E188" s="17" t="n">
        <f aca="false">IF(OR(LEFT(creatives!H189,7)="http://",LEFT(creatives!H189,8)="https://"), 0, 1)</f>
        <v>1</v>
      </c>
      <c r="F188" s="17" t="n">
        <f aca="false">IF(NOT(ISNUMBER(MATCH(creatives!I189,data!G$2:G$6,0))),1,0)</f>
        <v>1</v>
      </c>
      <c r="G188" s="17" t="n">
        <f aca="false">IF(ISBLANK(creatives!J189), 1, 0)</f>
        <v>1</v>
      </c>
      <c r="H188" s="17" t="str">
        <f aca="false">IF(NOT(ISBLANK(creatives!F189)),VLOOKUP(creatives!F189,data!I$2:J$29,2,0),"")</f>
        <v/>
      </c>
      <c r="I188" s="17" t="n">
        <f aca="false">IF(AND(NOT(ISBLANK(creatives!F189)),NOT(ISNUMBER(MATCH(H188,data!J$2:J$29,0)))),1,0)</f>
        <v>0</v>
      </c>
      <c r="J188" s="17" t="str">
        <f aca="false">IF(NOT(ISBLANK(creatives!E189)),VLOOKUP(creatives!E189,data!M$2:N$38,2,0),"")</f>
        <v/>
      </c>
      <c r="K188" s="17" t="n">
        <f aca="false">IF(NOT(ISNUMBER(MATCH(J188,data!N$2:N$38,0))),1,0)</f>
        <v>1</v>
      </c>
      <c r="L188" s="18" t="str">
        <f aca="false">IF(NOT(ISBLANK(creatives!C189)),VLOOKUP(creatives!C189,data!$A$2:$B$705,2,0),"")</f>
        <v/>
      </c>
      <c r="M188" s="17" t="n">
        <f aca="false">IF(NOT(ISNUMBER(MATCH(L188,data!B$2:B$705,0))),1,0)</f>
        <v>1</v>
      </c>
      <c r="N188" s="19" t="b">
        <f aca="false">IF(NOT(A188),TRUE(),AND(A188,SUM(B188,C188,D188,E188,F188,G188,K188,M188,I188)=0))</f>
        <v>1</v>
      </c>
      <c r="O188" s="20" t="n">
        <v>187</v>
      </c>
      <c r="P188" s="19" t="b">
        <f aca="false">IF(A188,COUNTIF(A$2:A188, CONCATENATE("=", TRUE()))=O188, TRUE())</f>
        <v>1</v>
      </c>
      <c r="Q188" s="1" t="n">
        <f aca="false">IF(A188,O188,0)</f>
        <v>0</v>
      </c>
    </row>
    <row r="189" customFormat="false" ht="15.65" hidden="false" customHeight="false" outlineLevel="0" collapsed="false">
      <c r="A189" s="17" t="b">
        <f aca="false">COUNTIF(creatives!B190:J190, "*")&gt;0</f>
        <v>0</v>
      </c>
      <c r="B189" s="17" t="n">
        <f aca="false">IF(OR(NOT(ISTEXT(creatives!B190)), ISBLANK(creatives!B190), LEN(TRIM(creatives!B190))&gt;200), 1, 0)</f>
        <v>1</v>
      </c>
      <c r="C189" s="17" t="n">
        <f aca="false">IF(NOT(ISNUMBER(MATCH(creatives!D190,data!C$2:C$6,0))),1,0)</f>
        <v>1</v>
      </c>
      <c r="D189" s="17" t="n">
        <f aca="false">IF(OR(LEFT(creatives!G190,7)="http://",LEFT(creatives!G190,8)="https://"), 0, 1)</f>
        <v>1</v>
      </c>
      <c r="E189" s="17" t="n">
        <f aca="false">IF(OR(LEFT(creatives!H190,7)="http://",LEFT(creatives!H190,8)="https://"), 0, 1)</f>
        <v>1</v>
      </c>
      <c r="F189" s="17" t="n">
        <f aca="false">IF(NOT(ISNUMBER(MATCH(creatives!I190,data!G$2:G$6,0))),1,0)</f>
        <v>1</v>
      </c>
      <c r="G189" s="17" t="n">
        <f aca="false">IF(ISBLANK(creatives!J190), 1, 0)</f>
        <v>1</v>
      </c>
      <c r="H189" s="17" t="str">
        <f aca="false">IF(NOT(ISBLANK(creatives!F190)),VLOOKUP(creatives!F190,data!I$2:J$29,2,0),"")</f>
        <v/>
      </c>
      <c r="I189" s="17" t="n">
        <f aca="false">IF(AND(NOT(ISBLANK(creatives!F190)),NOT(ISNUMBER(MATCH(H189,data!J$2:J$29,0)))),1,0)</f>
        <v>0</v>
      </c>
      <c r="J189" s="17" t="str">
        <f aca="false">IF(NOT(ISBLANK(creatives!E190)),VLOOKUP(creatives!E190,data!M$2:N$38,2,0),"")</f>
        <v/>
      </c>
      <c r="K189" s="17" t="n">
        <f aca="false">IF(NOT(ISNUMBER(MATCH(J189,data!N$2:N$38,0))),1,0)</f>
        <v>1</v>
      </c>
      <c r="L189" s="18" t="str">
        <f aca="false">IF(NOT(ISBLANK(creatives!C190)),VLOOKUP(creatives!C190,data!$A$2:$B$705,2,0),"")</f>
        <v/>
      </c>
      <c r="M189" s="17" t="n">
        <f aca="false">IF(NOT(ISNUMBER(MATCH(L189,data!B$2:B$705,0))),1,0)</f>
        <v>1</v>
      </c>
      <c r="N189" s="19" t="b">
        <f aca="false">IF(NOT(A189),TRUE(),AND(A189,SUM(B189,C189,D189,E189,F189,G189,K189,M189,I189)=0))</f>
        <v>1</v>
      </c>
      <c r="O189" s="20" t="n">
        <v>188</v>
      </c>
      <c r="P189" s="19" t="b">
        <f aca="false">IF(A189,COUNTIF(A$2:A189, CONCATENATE("=", TRUE()))=O189, TRUE())</f>
        <v>1</v>
      </c>
      <c r="Q189" s="1" t="n">
        <f aca="false">IF(A189,O189,0)</f>
        <v>0</v>
      </c>
    </row>
    <row r="190" customFormat="false" ht="15.65" hidden="false" customHeight="false" outlineLevel="0" collapsed="false">
      <c r="A190" s="17" t="b">
        <f aca="false">COUNTIF(creatives!B191:J191, "*")&gt;0</f>
        <v>0</v>
      </c>
      <c r="B190" s="17" t="n">
        <f aca="false">IF(OR(NOT(ISTEXT(creatives!B191)), ISBLANK(creatives!B191), LEN(TRIM(creatives!B191))&gt;200), 1, 0)</f>
        <v>1</v>
      </c>
      <c r="C190" s="17" t="n">
        <f aca="false">IF(NOT(ISNUMBER(MATCH(creatives!D191,data!C$2:C$6,0))),1,0)</f>
        <v>1</v>
      </c>
      <c r="D190" s="17" t="n">
        <f aca="false">IF(OR(LEFT(creatives!G191,7)="http://",LEFT(creatives!G191,8)="https://"), 0, 1)</f>
        <v>1</v>
      </c>
      <c r="E190" s="17" t="n">
        <f aca="false">IF(OR(LEFT(creatives!H191,7)="http://",LEFT(creatives!H191,8)="https://"), 0, 1)</f>
        <v>1</v>
      </c>
      <c r="F190" s="17" t="n">
        <f aca="false">IF(NOT(ISNUMBER(MATCH(creatives!I191,data!G$2:G$6,0))),1,0)</f>
        <v>1</v>
      </c>
      <c r="G190" s="17" t="n">
        <f aca="false">IF(ISBLANK(creatives!J191), 1, 0)</f>
        <v>1</v>
      </c>
      <c r="H190" s="17" t="str">
        <f aca="false">IF(NOT(ISBLANK(creatives!F191)),VLOOKUP(creatives!F191,data!I$2:J$29,2,0),"")</f>
        <v/>
      </c>
      <c r="I190" s="17" t="n">
        <f aca="false">IF(AND(NOT(ISBLANK(creatives!F191)),NOT(ISNUMBER(MATCH(H190,data!J$2:J$29,0)))),1,0)</f>
        <v>0</v>
      </c>
      <c r="J190" s="17" t="str">
        <f aca="false">IF(NOT(ISBLANK(creatives!E191)),VLOOKUP(creatives!E191,data!M$2:N$38,2,0),"")</f>
        <v/>
      </c>
      <c r="K190" s="17" t="n">
        <f aca="false">IF(NOT(ISNUMBER(MATCH(J190,data!N$2:N$38,0))),1,0)</f>
        <v>1</v>
      </c>
      <c r="L190" s="18" t="str">
        <f aca="false">IF(NOT(ISBLANK(creatives!C191)),VLOOKUP(creatives!C191,data!$A$2:$B$705,2,0),"")</f>
        <v/>
      </c>
      <c r="M190" s="17" t="n">
        <f aca="false">IF(NOT(ISNUMBER(MATCH(L190,data!B$2:B$705,0))),1,0)</f>
        <v>1</v>
      </c>
      <c r="N190" s="19" t="b">
        <f aca="false">IF(NOT(A190),TRUE(),AND(A190,SUM(B190,C190,D190,E190,F190,G190,K190,M190,I190)=0))</f>
        <v>1</v>
      </c>
      <c r="O190" s="20" t="n">
        <v>189</v>
      </c>
      <c r="P190" s="19" t="b">
        <f aca="false">IF(A190,COUNTIF(A$2:A190, CONCATENATE("=", TRUE()))=O190, TRUE())</f>
        <v>1</v>
      </c>
      <c r="Q190" s="1" t="n">
        <f aca="false">IF(A190,O190,0)</f>
        <v>0</v>
      </c>
    </row>
    <row r="191" customFormat="false" ht="15.65" hidden="false" customHeight="false" outlineLevel="0" collapsed="false">
      <c r="A191" s="17" t="b">
        <f aca="false">COUNTIF(creatives!B192:J192, "*")&gt;0</f>
        <v>0</v>
      </c>
      <c r="B191" s="17" t="n">
        <f aca="false">IF(OR(NOT(ISTEXT(creatives!B192)), ISBLANK(creatives!B192), LEN(TRIM(creatives!B192))&gt;200), 1, 0)</f>
        <v>1</v>
      </c>
      <c r="C191" s="17" t="n">
        <f aca="false">IF(NOT(ISNUMBER(MATCH(creatives!D192,data!C$2:C$6,0))),1,0)</f>
        <v>1</v>
      </c>
      <c r="D191" s="17" t="n">
        <f aca="false">IF(OR(LEFT(creatives!G192,7)="http://",LEFT(creatives!G192,8)="https://"), 0, 1)</f>
        <v>1</v>
      </c>
      <c r="E191" s="17" t="n">
        <f aca="false">IF(OR(LEFT(creatives!H192,7)="http://",LEFT(creatives!H192,8)="https://"), 0, 1)</f>
        <v>1</v>
      </c>
      <c r="F191" s="17" t="n">
        <f aca="false">IF(NOT(ISNUMBER(MATCH(creatives!I192,data!G$2:G$6,0))),1,0)</f>
        <v>1</v>
      </c>
      <c r="G191" s="17" t="n">
        <f aca="false">IF(ISBLANK(creatives!J192), 1, 0)</f>
        <v>1</v>
      </c>
      <c r="H191" s="17" t="str">
        <f aca="false">IF(NOT(ISBLANK(creatives!F192)),VLOOKUP(creatives!F192,data!I$2:J$29,2,0),"")</f>
        <v/>
      </c>
      <c r="I191" s="17" t="n">
        <f aca="false">IF(AND(NOT(ISBLANK(creatives!F192)),NOT(ISNUMBER(MATCH(H191,data!J$2:J$29,0)))),1,0)</f>
        <v>0</v>
      </c>
      <c r="J191" s="17" t="str">
        <f aca="false">IF(NOT(ISBLANK(creatives!E192)),VLOOKUP(creatives!E192,data!M$2:N$38,2,0),"")</f>
        <v/>
      </c>
      <c r="K191" s="17" t="n">
        <f aca="false">IF(NOT(ISNUMBER(MATCH(J191,data!N$2:N$38,0))),1,0)</f>
        <v>1</v>
      </c>
      <c r="L191" s="18" t="str">
        <f aca="false">IF(NOT(ISBLANK(creatives!C192)),VLOOKUP(creatives!C192,data!$A$2:$B$705,2,0),"")</f>
        <v/>
      </c>
      <c r="M191" s="17" t="n">
        <f aca="false">IF(NOT(ISNUMBER(MATCH(L191,data!B$2:B$705,0))),1,0)</f>
        <v>1</v>
      </c>
      <c r="N191" s="19" t="b">
        <f aca="false">IF(NOT(A191),TRUE(),AND(A191,SUM(B191,C191,D191,E191,F191,G191,K191,M191,I191)=0))</f>
        <v>1</v>
      </c>
      <c r="O191" s="20" t="n">
        <v>190</v>
      </c>
      <c r="P191" s="19" t="b">
        <f aca="false">IF(A191,COUNTIF(A$2:A191, CONCATENATE("=", TRUE()))=O191, TRUE())</f>
        <v>1</v>
      </c>
      <c r="Q191" s="1" t="n">
        <f aca="false">IF(A191,O191,0)</f>
        <v>0</v>
      </c>
    </row>
    <row r="192" customFormat="false" ht="15.65" hidden="false" customHeight="false" outlineLevel="0" collapsed="false">
      <c r="A192" s="17" t="b">
        <f aca="false">COUNTIF(creatives!B193:J193, "*")&gt;0</f>
        <v>0</v>
      </c>
      <c r="B192" s="17" t="n">
        <f aca="false">IF(OR(NOT(ISTEXT(creatives!B193)), ISBLANK(creatives!B193), LEN(TRIM(creatives!B193))&gt;200), 1, 0)</f>
        <v>1</v>
      </c>
      <c r="C192" s="17" t="n">
        <f aca="false">IF(NOT(ISNUMBER(MATCH(creatives!D193,data!C$2:C$6,0))),1,0)</f>
        <v>1</v>
      </c>
      <c r="D192" s="17" t="n">
        <f aca="false">IF(OR(LEFT(creatives!G193,7)="http://",LEFT(creatives!G193,8)="https://"), 0, 1)</f>
        <v>1</v>
      </c>
      <c r="E192" s="17" t="n">
        <f aca="false">IF(OR(LEFT(creatives!H193,7)="http://",LEFT(creatives!H193,8)="https://"), 0, 1)</f>
        <v>1</v>
      </c>
      <c r="F192" s="17" t="n">
        <f aca="false">IF(NOT(ISNUMBER(MATCH(creatives!I193,data!G$2:G$6,0))),1,0)</f>
        <v>1</v>
      </c>
      <c r="G192" s="17" t="n">
        <f aca="false">IF(ISBLANK(creatives!J193), 1, 0)</f>
        <v>1</v>
      </c>
      <c r="H192" s="17" t="str">
        <f aca="false">IF(NOT(ISBLANK(creatives!F193)),VLOOKUP(creatives!F193,data!I$2:J$29,2,0),"")</f>
        <v/>
      </c>
      <c r="I192" s="17" t="n">
        <f aca="false">IF(AND(NOT(ISBLANK(creatives!F193)),NOT(ISNUMBER(MATCH(H192,data!J$2:J$29,0)))),1,0)</f>
        <v>0</v>
      </c>
      <c r="J192" s="17" t="str">
        <f aca="false">IF(NOT(ISBLANK(creatives!E193)),VLOOKUP(creatives!E193,data!M$2:N$38,2,0),"")</f>
        <v/>
      </c>
      <c r="K192" s="17" t="n">
        <f aca="false">IF(NOT(ISNUMBER(MATCH(J192,data!N$2:N$38,0))),1,0)</f>
        <v>1</v>
      </c>
      <c r="L192" s="18" t="str">
        <f aca="false">IF(NOT(ISBLANK(creatives!C193)),VLOOKUP(creatives!C193,data!$A$2:$B$705,2,0),"")</f>
        <v/>
      </c>
      <c r="M192" s="17" t="n">
        <f aca="false">IF(NOT(ISNUMBER(MATCH(L192,data!B$2:B$705,0))),1,0)</f>
        <v>1</v>
      </c>
      <c r="N192" s="19" t="b">
        <f aca="false">IF(NOT(A192),TRUE(),AND(A192,SUM(B192,C192,D192,E192,F192,G192,K192,M192,I192)=0))</f>
        <v>1</v>
      </c>
      <c r="O192" s="20" t="n">
        <v>191</v>
      </c>
      <c r="P192" s="19" t="b">
        <f aca="false">IF(A192,COUNTIF(A$2:A192, CONCATENATE("=", TRUE()))=O192, TRUE())</f>
        <v>1</v>
      </c>
      <c r="Q192" s="1" t="n">
        <f aca="false">IF(A192,O192,0)</f>
        <v>0</v>
      </c>
    </row>
    <row r="193" customFormat="false" ht="15.65" hidden="false" customHeight="false" outlineLevel="0" collapsed="false">
      <c r="A193" s="17" t="b">
        <f aca="false">COUNTIF(creatives!B194:J194, "*")&gt;0</f>
        <v>0</v>
      </c>
      <c r="B193" s="17" t="n">
        <f aca="false">IF(OR(NOT(ISTEXT(creatives!B194)), ISBLANK(creatives!B194), LEN(TRIM(creatives!B194))&gt;200), 1, 0)</f>
        <v>1</v>
      </c>
      <c r="C193" s="17" t="n">
        <f aca="false">IF(NOT(ISNUMBER(MATCH(creatives!D194,data!C$2:C$6,0))),1,0)</f>
        <v>1</v>
      </c>
      <c r="D193" s="17" t="n">
        <f aca="false">IF(OR(LEFT(creatives!G194,7)="http://",LEFT(creatives!G194,8)="https://"), 0, 1)</f>
        <v>1</v>
      </c>
      <c r="E193" s="17" t="n">
        <f aca="false">IF(OR(LEFT(creatives!H194,7)="http://",LEFT(creatives!H194,8)="https://"), 0, 1)</f>
        <v>1</v>
      </c>
      <c r="F193" s="17" t="n">
        <f aca="false">IF(NOT(ISNUMBER(MATCH(creatives!I194,data!G$2:G$6,0))),1,0)</f>
        <v>1</v>
      </c>
      <c r="G193" s="17" t="n">
        <f aca="false">IF(ISBLANK(creatives!J194), 1, 0)</f>
        <v>1</v>
      </c>
      <c r="H193" s="17" t="str">
        <f aca="false">IF(NOT(ISBLANK(creatives!F194)),VLOOKUP(creatives!F194,data!I$2:J$29,2,0),"")</f>
        <v/>
      </c>
      <c r="I193" s="17" t="n">
        <f aca="false">IF(AND(NOT(ISBLANK(creatives!F194)),NOT(ISNUMBER(MATCH(H193,data!J$2:J$29,0)))),1,0)</f>
        <v>0</v>
      </c>
      <c r="J193" s="17" t="str">
        <f aca="false">IF(NOT(ISBLANK(creatives!E194)),VLOOKUP(creatives!E194,data!M$2:N$38,2,0),"")</f>
        <v/>
      </c>
      <c r="K193" s="17" t="n">
        <f aca="false">IF(NOT(ISNUMBER(MATCH(J193,data!N$2:N$38,0))),1,0)</f>
        <v>1</v>
      </c>
      <c r="L193" s="18" t="str">
        <f aca="false">IF(NOT(ISBLANK(creatives!C194)),VLOOKUP(creatives!C194,data!$A$2:$B$705,2,0),"")</f>
        <v/>
      </c>
      <c r="M193" s="17" t="n">
        <f aca="false">IF(NOT(ISNUMBER(MATCH(L193,data!B$2:B$705,0))),1,0)</f>
        <v>1</v>
      </c>
      <c r="N193" s="19" t="b">
        <f aca="false">IF(NOT(A193),TRUE(),AND(A193,SUM(B193,C193,D193,E193,F193,G193,K193,M193,I193)=0))</f>
        <v>1</v>
      </c>
      <c r="O193" s="20" t="n">
        <v>192</v>
      </c>
      <c r="P193" s="19" t="b">
        <f aca="false">IF(A193,COUNTIF(A$2:A193, CONCATENATE("=", TRUE()))=O193, TRUE())</f>
        <v>1</v>
      </c>
      <c r="Q193" s="1" t="n">
        <f aca="false">IF(A193,O193,0)</f>
        <v>0</v>
      </c>
    </row>
    <row r="194" customFormat="false" ht="15.65" hidden="false" customHeight="false" outlineLevel="0" collapsed="false">
      <c r="A194" s="17" t="b">
        <f aca="false">COUNTIF(creatives!B195:J195, "*")&gt;0</f>
        <v>0</v>
      </c>
      <c r="B194" s="17" t="n">
        <f aca="false">IF(OR(NOT(ISTEXT(creatives!B195)), ISBLANK(creatives!B195), LEN(TRIM(creatives!B195))&gt;200), 1, 0)</f>
        <v>1</v>
      </c>
      <c r="C194" s="17" t="n">
        <f aca="false">IF(NOT(ISNUMBER(MATCH(creatives!D195,data!C$2:C$6,0))),1,0)</f>
        <v>1</v>
      </c>
      <c r="D194" s="17" t="n">
        <f aca="false">IF(OR(LEFT(creatives!G195,7)="http://",LEFT(creatives!G195,8)="https://"), 0, 1)</f>
        <v>1</v>
      </c>
      <c r="E194" s="17" t="n">
        <f aca="false">IF(OR(LEFT(creatives!H195,7)="http://",LEFT(creatives!H195,8)="https://"), 0, 1)</f>
        <v>1</v>
      </c>
      <c r="F194" s="17" t="n">
        <f aca="false">IF(NOT(ISNUMBER(MATCH(creatives!I195,data!G$2:G$6,0))),1,0)</f>
        <v>1</v>
      </c>
      <c r="G194" s="17" t="n">
        <f aca="false">IF(ISBLANK(creatives!J195), 1, 0)</f>
        <v>1</v>
      </c>
      <c r="H194" s="17" t="str">
        <f aca="false">IF(NOT(ISBLANK(creatives!F195)),VLOOKUP(creatives!F195,data!I$2:J$29,2,0),"")</f>
        <v/>
      </c>
      <c r="I194" s="17" t="n">
        <f aca="false">IF(AND(NOT(ISBLANK(creatives!F195)),NOT(ISNUMBER(MATCH(H194,data!J$2:J$29,0)))),1,0)</f>
        <v>0</v>
      </c>
      <c r="J194" s="17" t="str">
        <f aca="false">IF(NOT(ISBLANK(creatives!E195)),VLOOKUP(creatives!E195,data!M$2:N$38,2,0),"")</f>
        <v/>
      </c>
      <c r="K194" s="17" t="n">
        <f aca="false">IF(NOT(ISNUMBER(MATCH(J194,data!N$2:N$38,0))),1,0)</f>
        <v>1</v>
      </c>
      <c r="L194" s="18" t="str">
        <f aca="false">IF(NOT(ISBLANK(creatives!C195)),VLOOKUP(creatives!C195,data!$A$2:$B$705,2,0),"")</f>
        <v/>
      </c>
      <c r="M194" s="17" t="n">
        <f aca="false">IF(NOT(ISNUMBER(MATCH(L194,data!B$2:B$705,0))),1,0)</f>
        <v>1</v>
      </c>
      <c r="N194" s="19" t="b">
        <f aca="false">IF(NOT(A194),TRUE(),AND(A194,SUM(B194,C194,D194,E194,F194,G194,K194,M194,I194)=0))</f>
        <v>1</v>
      </c>
      <c r="O194" s="20" t="n">
        <v>193</v>
      </c>
      <c r="P194" s="19" t="b">
        <f aca="false">IF(A194,COUNTIF(A$2:A194, CONCATENATE("=", TRUE()))=O194, TRUE())</f>
        <v>1</v>
      </c>
      <c r="Q194" s="1" t="n">
        <f aca="false">IF(A194,O194,0)</f>
        <v>0</v>
      </c>
    </row>
    <row r="195" customFormat="false" ht="15.65" hidden="false" customHeight="false" outlineLevel="0" collapsed="false">
      <c r="A195" s="17" t="b">
        <f aca="false">COUNTIF(creatives!B196:J196, "*")&gt;0</f>
        <v>0</v>
      </c>
      <c r="B195" s="17" t="n">
        <f aca="false">IF(OR(NOT(ISTEXT(creatives!B196)), ISBLANK(creatives!B196), LEN(TRIM(creatives!B196))&gt;200), 1, 0)</f>
        <v>1</v>
      </c>
      <c r="C195" s="17" t="n">
        <f aca="false">IF(NOT(ISNUMBER(MATCH(creatives!D196,data!C$2:C$6,0))),1,0)</f>
        <v>1</v>
      </c>
      <c r="D195" s="17" t="n">
        <f aca="false">IF(OR(LEFT(creatives!G196,7)="http://",LEFT(creatives!G196,8)="https://"), 0, 1)</f>
        <v>1</v>
      </c>
      <c r="E195" s="17" t="n">
        <f aca="false">IF(OR(LEFT(creatives!H196,7)="http://",LEFT(creatives!H196,8)="https://"), 0, 1)</f>
        <v>1</v>
      </c>
      <c r="F195" s="17" t="n">
        <f aca="false">IF(NOT(ISNUMBER(MATCH(creatives!I196,data!G$2:G$6,0))),1,0)</f>
        <v>1</v>
      </c>
      <c r="G195" s="17" t="n">
        <f aca="false">IF(ISBLANK(creatives!J196), 1, 0)</f>
        <v>1</v>
      </c>
      <c r="H195" s="17" t="str">
        <f aca="false">IF(NOT(ISBLANK(creatives!F196)),VLOOKUP(creatives!F196,data!I$2:J$29,2,0),"")</f>
        <v/>
      </c>
      <c r="I195" s="17" t="n">
        <f aca="false">IF(AND(NOT(ISBLANK(creatives!F196)),NOT(ISNUMBER(MATCH(H195,data!J$2:J$29,0)))),1,0)</f>
        <v>0</v>
      </c>
      <c r="J195" s="17" t="str">
        <f aca="false">IF(NOT(ISBLANK(creatives!E196)),VLOOKUP(creatives!E196,data!M$2:N$38,2,0),"")</f>
        <v/>
      </c>
      <c r="K195" s="17" t="n">
        <f aca="false">IF(NOT(ISNUMBER(MATCH(J195,data!N$2:N$38,0))),1,0)</f>
        <v>1</v>
      </c>
      <c r="L195" s="18" t="str">
        <f aca="false">IF(NOT(ISBLANK(creatives!C196)),VLOOKUP(creatives!C196,data!$A$2:$B$705,2,0),"")</f>
        <v/>
      </c>
      <c r="M195" s="17" t="n">
        <f aca="false">IF(NOT(ISNUMBER(MATCH(L195,data!B$2:B$705,0))),1,0)</f>
        <v>1</v>
      </c>
      <c r="N195" s="19" t="b">
        <f aca="false">IF(NOT(A195),TRUE(),AND(A195,SUM(B195,C195,D195,E195,F195,G195,K195,M195,I195)=0))</f>
        <v>1</v>
      </c>
      <c r="O195" s="20" t="n">
        <v>194</v>
      </c>
      <c r="P195" s="19" t="b">
        <f aca="false">IF(A195,COUNTIF(A$2:A195, CONCATENATE("=", TRUE()))=O195, TRUE())</f>
        <v>1</v>
      </c>
      <c r="Q195" s="1" t="n">
        <f aca="false">IF(A195,O195,0)</f>
        <v>0</v>
      </c>
    </row>
    <row r="196" customFormat="false" ht="15.65" hidden="false" customHeight="false" outlineLevel="0" collapsed="false">
      <c r="A196" s="17" t="b">
        <f aca="false">COUNTIF(creatives!B197:J197, "*")&gt;0</f>
        <v>0</v>
      </c>
      <c r="B196" s="17" t="n">
        <f aca="false">IF(OR(NOT(ISTEXT(creatives!B197)), ISBLANK(creatives!B197), LEN(TRIM(creatives!B197))&gt;200), 1, 0)</f>
        <v>1</v>
      </c>
      <c r="C196" s="17" t="n">
        <f aca="false">IF(NOT(ISNUMBER(MATCH(creatives!D197,data!C$2:C$6,0))),1,0)</f>
        <v>1</v>
      </c>
      <c r="D196" s="17" t="n">
        <f aca="false">IF(OR(LEFT(creatives!G197,7)="http://",LEFT(creatives!G197,8)="https://"), 0, 1)</f>
        <v>1</v>
      </c>
      <c r="E196" s="17" t="n">
        <f aca="false">IF(OR(LEFT(creatives!H197,7)="http://",LEFT(creatives!H197,8)="https://"), 0, 1)</f>
        <v>1</v>
      </c>
      <c r="F196" s="17" t="n">
        <f aca="false">IF(NOT(ISNUMBER(MATCH(creatives!I197,data!G$2:G$6,0))),1,0)</f>
        <v>1</v>
      </c>
      <c r="G196" s="17" t="n">
        <f aca="false">IF(ISBLANK(creatives!J197), 1, 0)</f>
        <v>1</v>
      </c>
      <c r="H196" s="17" t="str">
        <f aca="false">IF(NOT(ISBLANK(creatives!F197)),VLOOKUP(creatives!F197,data!I$2:J$29,2,0),"")</f>
        <v/>
      </c>
      <c r="I196" s="17" t="n">
        <f aca="false">IF(AND(NOT(ISBLANK(creatives!F197)),NOT(ISNUMBER(MATCH(H196,data!J$2:J$29,0)))),1,0)</f>
        <v>0</v>
      </c>
      <c r="J196" s="17" t="str">
        <f aca="false">IF(NOT(ISBLANK(creatives!E197)),VLOOKUP(creatives!E197,data!M$2:N$38,2,0),"")</f>
        <v/>
      </c>
      <c r="K196" s="17" t="n">
        <f aca="false">IF(NOT(ISNUMBER(MATCH(J196,data!N$2:N$38,0))),1,0)</f>
        <v>1</v>
      </c>
      <c r="L196" s="18" t="str">
        <f aca="false">IF(NOT(ISBLANK(creatives!C197)),VLOOKUP(creatives!C197,data!$A$2:$B$705,2,0),"")</f>
        <v/>
      </c>
      <c r="M196" s="17" t="n">
        <f aca="false">IF(NOT(ISNUMBER(MATCH(L196,data!B$2:B$705,0))),1,0)</f>
        <v>1</v>
      </c>
      <c r="N196" s="19" t="b">
        <f aca="false">IF(NOT(A196),TRUE(),AND(A196,SUM(B196,C196,D196,E196,F196,G196,K196,M196,I196)=0))</f>
        <v>1</v>
      </c>
      <c r="O196" s="20" t="n">
        <v>195</v>
      </c>
      <c r="P196" s="19" t="b">
        <f aca="false">IF(A196,COUNTIF(A$2:A196, CONCATENATE("=", TRUE()))=O196, TRUE())</f>
        <v>1</v>
      </c>
      <c r="Q196" s="1" t="n">
        <f aca="false">IF(A196,O196,0)</f>
        <v>0</v>
      </c>
    </row>
    <row r="197" customFormat="false" ht="15.65" hidden="false" customHeight="false" outlineLevel="0" collapsed="false">
      <c r="A197" s="17" t="b">
        <f aca="false">COUNTIF(creatives!B198:J198, "*")&gt;0</f>
        <v>0</v>
      </c>
      <c r="B197" s="17" t="n">
        <f aca="false">IF(OR(NOT(ISTEXT(creatives!B198)), ISBLANK(creatives!B198), LEN(TRIM(creatives!B198))&gt;200), 1, 0)</f>
        <v>1</v>
      </c>
      <c r="C197" s="17" t="n">
        <f aca="false">IF(NOT(ISNUMBER(MATCH(creatives!D198,data!C$2:C$6,0))),1,0)</f>
        <v>1</v>
      </c>
      <c r="D197" s="17" t="n">
        <f aca="false">IF(OR(LEFT(creatives!G198,7)="http://",LEFT(creatives!G198,8)="https://"), 0, 1)</f>
        <v>1</v>
      </c>
      <c r="E197" s="17" t="n">
        <f aca="false">IF(OR(LEFT(creatives!H198,7)="http://",LEFT(creatives!H198,8)="https://"), 0, 1)</f>
        <v>1</v>
      </c>
      <c r="F197" s="17" t="n">
        <f aca="false">IF(NOT(ISNUMBER(MATCH(creatives!I198,data!G$2:G$6,0))),1,0)</f>
        <v>1</v>
      </c>
      <c r="G197" s="17" t="n">
        <f aca="false">IF(ISBLANK(creatives!J198), 1, 0)</f>
        <v>1</v>
      </c>
      <c r="H197" s="17" t="str">
        <f aca="false">IF(NOT(ISBLANK(creatives!F198)),VLOOKUP(creatives!F198,data!I$2:J$29,2,0),"")</f>
        <v/>
      </c>
      <c r="I197" s="17" t="n">
        <f aca="false">IF(AND(NOT(ISBLANK(creatives!F198)),NOT(ISNUMBER(MATCH(H197,data!J$2:J$29,0)))),1,0)</f>
        <v>0</v>
      </c>
      <c r="J197" s="17" t="str">
        <f aca="false">IF(NOT(ISBLANK(creatives!E198)),VLOOKUP(creatives!E198,data!M$2:N$38,2,0),"")</f>
        <v/>
      </c>
      <c r="K197" s="17" t="n">
        <f aca="false">IF(NOT(ISNUMBER(MATCH(J197,data!N$2:N$38,0))),1,0)</f>
        <v>1</v>
      </c>
      <c r="L197" s="18" t="str">
        <f aca="false">IF(NOT(ISBLANK(creatives!C198)),VLOOKUP(creatives!C198,data!$A$2:$B$705,2,0),"")</f>
        <v/>
      </c>
      <c r="M197" s="17" t="n">
        <f aca="false">IF(NOT(ISNUMBER(MATCH(L197,data!B$2:B$705,0))),1,0)</f>
        <v>1</v>
      </c>
      <c r="N197" s="19" t="b">
        <f aca="false">IF(NOT(A197),TRUE(),AND(A197,SUM(B197,C197,D197,E197,F197,G197,K197,M197,I197)=0))</f>
        <v>1</v>
      </c>
      <c r="O197" s="20" t="n">
        <v>196</v>
      </c>
      <c r="P197" s="19" t="b">
        <f aca="false">IF(A197,COUNTIF(A$2:A197, CONCATENATE("=", TRUE()))=O197, TRUE())</f>
        <v>1</v>
      </c>
      <c r="Q197" s="1" t="n">
        <f aca="false">IF(A197,O197,0)</f>
        <v>0</v>
      </c>
    </row>
    <row r="198" customFormat="false" ht="15.65" hidden="false" customHeight="false" outlineLevel="0" collapsed="false">
      <c r="A198" s="17" t="b">
        <f aca="false">COUNTIF(creatives!B199:J199, "*")&gt;0</f>
        <v>0</v>
      </c>
      <c r="B198" s="17" t="n">
        <f aca="false">IF(OR(NOT(ISTEXT(creatives!B199)), ISBLANK(creatives!B199), LEN(TRIM(creatives!B199))&gt;200), 1, 0)</f>
        <v>1</v>
      </c>
      <c r="C198" s="17" t="n">
        <f aca="false">IF(NOT(ISNUMBER(MATCH(creatives!D199,data!C$2:C$6,0))),1,0)</f>
        <v>1</v>
      </c>
      <c r="D198" s="17" t="n">
        <f aca="false">IF(OR(LEFT(creatives!G199,7)="http://",LEFT(creatives!G199,8)="https://"), 0, 1)</f>
        <v>1</v>
      </c>
      <c r="E198" s="17" t="n">
        <f aca="false">IF(OR(LEFT(creatives!H199,7)="http://",LEFT(creatives!H199,8)="https://"), 0, 1)</f>
        <v>1</v>
      </c>
      <c r="F198" s="17" t="n">
        <f aca="false">IF(NOT(ISNUMBER(MATCH(creatives!I199,data!G$2:G$6,0))),1,0)</f>
        <v>1</v>
      </c>
      <c r="G198" s="17" t="n">
        <f aca="false">IF(ISBLANK(creatives!J199), 1, 0)</f>
        <v>1</v>
      </c>
      <c r="H198" s="17" t="str">
        <f aca="false">IF(NOT(ISBLANK(creatives!F199)),VLOOKUP(creatives!F199,data!I$2:J$29,2,0),"")</f>
        <v/>
      </c>
      <c r="I198" s="17" t="n">
        <f aca="false">IF(AND(NOT(ISBLANK(creatives!F199)),NOT(ISNUMBER(MATCH(H198,data!J$2:J$29,0)))),1,0)</f>
        <v>0</v>
      </c>
      <c r="J198" s="17" t="str">
        <f aca="false">IF(NOT(ISBLANK(creatives!E199)),VLOOKUP(creatives!E199,data!M$2:N$38,2,0),"")</f>
        <v/>
      </c>
      <c r="K198" s="17" t="n">
        <f aca="false">IF(NOT(ISNUMBER(MATCH(J198,data!N$2:N$38,0))),1,0)</f>
        <v>1</v>
      </c>
      <c r="L198" s="18" t="str">
        <f aca="false">IF(NOT(ISBLANK(creatives!C199)),VLOOKUP(creatives!C199,data!$A$2:$B$705,2,0),"")</f>
        <v/>
      </c>
      <c r="M198" s="17" t="n">
        <f aca="false">IF(NOT(ISNUMBER(MATCH(L198,data!B$2:B$705,0))),1,0)</f>
        <v>1</v>
      </c>
      <c r="N198" s="19" t="b">
        <f aca="false">IF(NOT(A198),TRUE(),AND(A198,SUM(B198,C198,D198,E198,F198,G198,K198,M198,I198)=0))</f>
        <v>1</v>
      </c>
      <c r="O198" s="20" t="n">
        <v>197</v>
      </c>
      <c r="P198" s="19" t="b">
        <f aca="false">IF(A198,COUNTIF(A$2:A198, CONCATENATE("=", TRUE()))=O198, TRUE())</f>
        <v>1</v>
      </c>
      <c r="Q198" s="1" t="n">
        <f aca="false">IF(A198,O198,0)</f>
        <v>0</v>
      </c>
    </row>
    <row r="199" customFormat="false" ht="15.65" hidden="false" customHeight="false" outlineLevel="0" collapsed="false">
      <c r="A199" s="17" t="b">
        <f aca="false">COUNTIF(creatives!B200:J200, "*")&gt;0</f>
        <v>0</v>
      </c>
      <c r="B199" s="17" t="n">
        <f aca="false">IF(OR(NOT(ISTEXT(creatives!B200)), ISBLANK(creatives!B200), LEN(TRIM(creatives!B200))&gt;200), 1, 0)</f>
        <v>1</v>
      </c>
      <c r="C199" s="17" t="n">
        <f aca="false">IF(NOT(ISNUMBER(MATCH(creatives!D200,data!C$2:C$6,0))),1,0)</f>
        <v>1</v>
      </c>
      <c r="D199" s="17" t="n">
        <f aca="false">IF(OR(LEFT(creatives!G200,7)="http://",LEFT(creatives!G200,8)="https://"), 0, 1)</f>
        <v>1</v>
      </c>
      <c r="E199" s="17" t="n">
        <f aca="false">IF(OR(LEFT(creatives!H200,7)="http://",LEFT(creatives!H200,8)="https://"), 0, 1)</f>
        <v>1</v>
      </c>
      <c r="F199" s="17" t="n">
        <f aca="false">IF(NOT(ISNUMBER(MATCH(creatives!I200,data!G$2:G$6,0))),1,0)</f>
        <v>1</v>
      </c>
      <c r="G199" s="17" t="n">
        <f aca="false">IF(ISBLANK(creatives!J200), 1, 0)</f>
        <v>1</v>
      </c>
      <c r="H199" s="17" t="str">
        <f aca="false">IF(NOT(ISBLANK(creatives!F200)),VLOOKUP(creatives!F200,data!I$2:J$29,2,0),"")</f>
        <v/>
      </c>
      <c r="I199" s="17" t="n">
        <f aca="false">IF(AND(NOT(ISBLANK(creatives!F200)),NOT(ISNUMBER(MATCH(H199,data!J$2:J$29,0)))),1,0)</f>
        <v>0</v>
      </c>
      <c r="J199" s="17" t="str">
        <f aca="false">IF(NOT(ISBLANK(creatives!E200)),VLOOKUP(creatives!E200,data!M$2:N$38,2,0),"")</f>
        <v/>
      </c>
      <c r="K199" s="17" t="n">
        <f aca="false">IF(NOT(ISNUMBER(MATCH(J199,data!N$2:N$38,0))),1,0)</f>
        <v>1</v>
      </c>
      <c r="L199" s="18" t="str">
        <f aca="false">IF(NOT(ISBLANK(creatives!C200)),VLOOKUP(creatives!C200,data!$A$2:$B$705,2,0),"")</f>
        <v/>
      </c>
      <c r="M199" s="17" t="n">
        <f aca="false">IF(NOT(ISNUMBER(MATCH(L199,data!B$2:B$705,0))),1,0)</f>
        <v>1</v>
      </c>
      <c r="N199" s="19" t="b">
        <f aca="false">IF(NOT(A199),TRUE(),AND(A199,SUM(B199,C199,D199,E199,F199,G199,K199,M199,I199)=0))</f>
        <v>1</v>
      </c>
      <c r="O199" s="20" t="n">
        <v>198</v>
      </c>
      <c r="P199" s="19" t="b">
        <f aca="false">IF(A199,COUNTIF(A$2:A199, CONCATENATE("=", TRUE()))=O199, TRUE())</f>
        <v>1</v>
      </c>
      <c r="Q199" s="1" t="n">
        <f aca="false">IF(A199,O199,0)</f>
        <v>0</v>
      </c>
    </row>
    <row r="200" customFormat="false" ht="15.65" hidden="false" customHeight="false" outlineLevel="0" collapsed="false">
      <c r="A200" s="17" t="b">
        <f aca="false">COUNTIF(creatives!B201:J201, "*")&gt;0</f>
        <v>0</v>
      </c>
      <c r="B200" s="17" t="n">
        <f aca="false">IF(OR(NOT(ISTEXT(creatives!B201)), ISBLANK(creatives!B201), LEN(TRIM(creatives!B201))&gt;200), 1, 0)</f>
        <v>1</v>
      </c>
      <c r="C200" s="17" t="n">
        <f aca="false">IF(NOT(ISNUMBER(MATCH(creatives!D201,data!C$2:C$6,0))),1,0)</f>
        <v>1</v>
      </c>
      <c r="D200" s="17" t="n">
        <f aca="false">IF(OR(LEFT(creatives!G201,7)="http://",LEFT(creatives!G201,8)="https://"), 0, 1)</f>
        <v>1</v>
      </c>
      <c r="E200" s="17" t="n">
        <f aca="false">IF(OR(LEFT(creatives!H201,7)="http://",LEFT(creatives!H201,8)="https://"), 0, 1)</f>
        <v>1</v>
      </c>
      <c r="F200" s="17" t="n">
        <f aca="false">IF(NOT(ISNUMBER(MATCH(creatives!I201,data!G$2:G$6,0))),1,0)</f>
        <v>1</v>
      </c>
      <c r="G200" s="17" t="n">
        <f aca="false">IF(ISBLANK(creatives!J201), 1, 0)</f>
        <v>1</v>
      </c>
      <c r="H200" s="17" t="str">
        <f aca="false">IF(NOT(ISBLANK(creatives!F201)),VLOOKUP(creatives!F201,data!I$2:J$29,2,0),"")</f>
        <v/>
      </c>
      <c r="I200" s="17" t="n">
        <f aca="false">IF(AND(NOT(ISBLANK(creatives!F201)),NOT(ISNUMBER(MATCH(H200,data!J$2:J$29,0)))),1,0)</f>
        <v>0</v>
      </c>
      <c r="J200" s="17" t="str">
        <f aca="false">IF(NOT(ISBLANK(creatives!E201)),VLOOKUP(creatives!E201,data!M$2:N$38,2,0),"")</f>
        <v/>
      </c>
      <c r="K200" s="17" t="n">
        <f aca="false">IF(NOT(ISNUMBER(MATCH(J200,data!N$2:N$38,0))),1,0)</f>
        <v>1</v>
      </c>
      <c r="L200" s="18" t="str">
        <f aca="false">IF(NOT(ISBLANK(creatives!C201)),VLOOKUP(creatives!C201,data!$A$2:$B$705,2,0),"")</f>
        <v/>
      </c>
      <c r="M200" s="17" t="n">
        <f aca="false">IF(NOT(ISNUMBER(MATCH(L200,data!B$2:B$705,0))),1,0)</f>
        <v>1</v>
      </c>
      <c r="N200" s="19" t="b">
        <f aca="false">IF(NOT(A200),TRUE(),AND(A200,SUM(B200,C200,D200,E200,F200,G200,K200,M200,I200)=0))</f>
        <v>1</v>
      </c>
      <c r="O200" s="20" t="n">
        <v>199</v>
      </c>
      <c r="P200" s="19" t="b">
        <f aca="false">IF(A200,COUNTIF(A$2:A200, CONCATENATE("=", TRUE()))=O200, TRUE())</f>
        <v>1</v>
      </c>
      <c r="Q200" s="1" t="n">
        <f aca="false">IF(A200,O200,0)</f>
        <v>0</v>
      </c>
    </row>
    <row r="201" customFormat="false" ht="15.65" hidden="false" customHeight="false" outlineLevel="0" collapsed="false">
      <c r="A201" s="17" t="b">
        <f aca="false">COUNTIF(creatives!B202:J202, "*")&gt;0</f>
        <v>0</v>
      </c>
      <c r="B201" s="17" t="n">
        <f aca="false">IF(OR(NOT(ISTEXT(creatives!B202)), ISBLANK(creatives!B202), LEN(TRIM(creatives!B202))&gt;200), 1, 0)</f>
        <v>1</v>
      </c>
      <c r="C201" s="17" t="n">
        <f aca="false">IF(NOT(ISNUMBER(MATCH(creatives!D202,data!C$2:C$6,0))),1,0)</f>
        <v>1</v>
      </c>
      <c r="D201" s="17" t="n">
        <f aca="false">IF(OR(LEFT(creatives!G202,7)="http://",LEFT(creatives!G202,8)="https://"), 0, 1)</f>
        <v>1</v>
      </c>
      <c r="E201" s="17" t="n">
        <f aca="false">IF(OR(LEFT(creatives!H202,7)="http://",LEFT(creatives!H202,8)="https://"), 0, 1)</f>
        <v>1</v>
      </c>
      <c r="F201" s="17" t="n">
        <f aca="false">IF(NOT(ISNUMBER(MATCH(creatives!I202,data!G$2:G$6,0))),1,0)</f>
        <v>1</v>
      </c>
      <c r="G201" s="17" t="n">
        <f aca="false">IF(ISBLANK(creatives!J202), 1, 0)</f>
        <v>1</v>
      </c>
      <c r="H201" s="17" t="str">
        <f aca="false">IF(NOT(ISBLANK(creatives!F202)),VLOOKUP(creatives!F202,data!I$2:J$29,2,0),"")</f>
        <v/>
      </c>
      <c r="I201" s="17" t="n">
        <f aca="false">IF(AND(NOT(ISBLANK(creatives!F202)),NOT(ISNUMBER(MATCH(H201,data!J$2:J$29,0)))),1,0)</f>
        <v>0</v>
      </c>
      <c r="J201" s="17" t="str">
        <f aca="false">IF(NOT(ISBLANK(creatives!E202)),VLOOKUP(creatives!E202,data!M$2:N$38,2,0),"")</f>
        <v/>
      </c>
      <c r="K201" s="17" t="n">
        <f aca="false">IF(NOT(ISNUMBER(MATCH(J201,data!N$2:N$38,0))),1,0)</f>
        <v>1</v>
      </c>
      <c r="L201" s="18" t="str">
        <f aca="false">IF(NOT(ISBLANK(creatives!C202)),VLOOKUP(creatives!C202,data!$A$2:$B$705,2,0),"")</f>
        <v/>
      </c>
      <c r="M201" s="17" t="n">
        <f aca="false">IF(NOT(ISNUMBER(MATCH(L201,data!B$2:B$705,0))),1,0)</f>
        <v>1</v>
      </c>
      <c r="N201" s="19" t="b">
        <f aca="false">IF(NOT(A201),TRUE(),AND(A201,SUM(B201,C201,D201,E201,F201,G201,K201,M201,I201)=0))</f>
        <v>1</v>
      </c>
      <c r="O201" s="20" t="n">
        <v>200</v>
      </c>
      <c r="P201" s="19" t="b">
        <f aca="false">IF(A201,COUNTIF(A$2:A201, CONCATENATE("=", TRUE()))=O201, TRUE())</f>
        <v>1</v>
      </c>
      <c r="Q201" s="1" t="n">
        <f aca="false">IF(A201,O201,0)</f>
        <v>0</v>
      </c>
    </row>
    <row r="202" s="21" customFormat="true" ht="15.75" hidden="false" customHeight="false" outlineLevel="0" collapsed="false">
      <c r="L202" s="22"/>
      <c r="O202" s="23"/>
    </row>
  </sheetData>
  <sheetProtection sheet="true" password="c702" objects="true" scenarios="true"/>
  <conditionalFormatting sqref="A2:A201">
    <cfRule type="cellIs" priority="2" operator="equal" aboveAverage="0" equalAverage="0" bottom="0" percent="0" rank="0" text="" dxfId="6">
      <formula>1</formula>
    </cfRule>
    <cfRule type="cellIs" priority="3" operator="equal" aboveAverage="0" equalAverage="0" bottom="0" percent="0" rank="0" text="" dxfId="7">
      <formula>0</formula>
    </cfRule>
  </conditionalFormatting>
  <conditionalFormatting sqref="P1:P1048576">
    <cfRule type="cellIs" priority="4" operator="equal" aboveAverage="0" equalAverage="0" bottom="0" percent="0" rank="0" text="" dxfId="8">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705"/>
  <sheetViews>
    <sheetView showFormulas="false" showGridLines="true" showRowColHeaders="true" showZeros="true" rightToLeft="false" tabSelected="false" showOutlineSymbols="true" defaultGridColor="true" view="normal" topLeftCell="I6" colorId="64" zoomScale="100" zoomScaleNormal="100" zoomScalePageLayoutView="100" workbookViewId="0">
      <selection pane="topLeft" activeCell="M38" activeCellId="0" sqref="M38"/>
    </sheetView>
  </sheetViews>
  <sheetFormatPr defaultColWidth="11.0078125" defaultRowHeight="15.75" zeroHeight="false" outlineLevelRow="0" outlineLevelCol="0"/>
  <cols>
    <col collapsed="false" customWidth="true" hidden="false" outlineLevel="0" max="1" min="1" style="1" width="28.66"/>
    <col collapsed="false" customWidth="false" hidden="false" outlineLevel="0" max="2" min="2" style="14" width="11"/>
    <col collapsed="false" customWidth="true" hidden="false" outlineLevel="0" max="3" min="3" style="1" width="12.16"/>
    <col collapsed="false" customWidth="false" hidden="false" outlineLevel="0" max="8" min="4" style="1" width="11"/>
    <col collapsed="false" customWidth="true" hidden="false" outlineLevel="0" max="9" min="9" style="1" width="17.16"/>
    <col collapsed="false" customWidth="false" hidden="false" outlineLevel="0" max="12" min="10" style="1" width="11"/>
    <col collapsed="false" customWidth="true" hidden="false" outlineLevel="0" max="13" min="13" style="1" width="28"/>
    <col collapsed="false" customWidth="true" hidden="false" outlineLevel="0" max="14" min="14" style="1" width="36.16"/>
    <col collapsed="false" customWidth="false" hidden="false" outlineLevel="0" max="1024" min="15" style="1" width="11"/>
  </cols>
  <sheetData>
    <row r="1" customFormat="false" ht="15.75" hidden="false" customHeight="false" outlineLevel="0" collapsed="false">
      <c r="A1" s="1" t="s">
        <v>36</v>
      </c>
      <c r="B1" s="14" t="s">
        <v>37</v>
      </c>
      <c r="C1" s="1" t="s">
        <v>38</v>
      </c>
      <c r="G1" s="1" t="s">
        <v>39</v>
      </c>
      <c r="I1" s="1" t="s">
        <v>40</v>
      </c>
      <c r="M1" s="1" t="s">
        <v>41</v>
      </c>
      <c r="N1" s="1" t="s">
        <v>42</v>
      </c>
    </row>
    <row r="2" customFormat="false" ht="15.75" hidden="false" customHeight="false" outlineLevel="0" collapsed="false">
      <c r="A2" s="1" t="s">
        <v>11</v>
      </c>
      <c r="B2" s="24" t="s">
        <v>43</v>
      </c>
      <c r="C2" s="1" t="s">
        <v>12</v>
      </c>
      <c r="D2" s="6"/>
      <c r="G2" s="1" t="s">
        <v>16</v>
      </c>
      <c r="I2" s="1" t="s">
        <v>44</v>
      </c>
      <c r="J2" s="1" t="n">
        <v>1</v>
      </c>
      <c r="M2" s="6" t="s">
        <v>45</v>
      </c>
      <c r="N2" s="1" t="s">
        <v>46</v>
      </c>
    </row>
    <row r="3" customFormat="false" ht="15.75" hidden="false" customHeight="false" outlineLevel="0" collapsed="false">
      <c r="A3" s="1" t="s">
        <v>47</v>
      </c>
      <c r="B3" s="24" t="s">
        <v>48</v>
      </c>
      <c r="C3" s="1" t="s">
        <v>49</v>
      </c>
      <c r="D3" s="6"/>
      <c r="G3" s="1" t="s">
        <v>50</v>
      </c>
      <c r="I3" s="1" t="s">
        <v>51</v>
      </c>
      <c r="J3" s="1" t="n">
        <v>2</v>
      </c>
      <c r="M3" s="6" t="s">
        <v>52</v>
      </c>
      <c r="N3" s="1" t="s">
        <v>53</v>
      </c>
    </row>
    <row r="4" customFormat="false" ht="15.75" hidden="false" customHeight="false" outlineLevel="0" collapsed="false">
      <c r="A4" s="1" t="s">
        <v>54</v>
      </c>
      <c r="B4" s="24" t="s">
        <v>55</v>
      </c>
      <c r="C4" s="1" t="s">
        <v>56</v>
      </c>
      <c r="D4" s="6"/>
      <c r="G4" s="1" t="s">
        <v>57</v>
      </c>
      <c r="I4" s="1" t="s">
        <v>58</v>
      </c>
      <c r="J4" s="1" t="n">
        <v>3</v>
      </c>
      <c r="M4" s="6" t="s">
        <v>59</v>
      </c>
      <c r="N4" s="1" t="s">
        <v>60</v>
      </c>
    </row>
    <row r="5" customFormat="false" ht="15.75" hidden="false" customHeight="false" outlineLevel="0" collapsed="false">
      <c r="A5" s="1" t="s">
        <v>61</v>
      </c>
      <c r="B5" s="24" t="s">
        <v>62</v>
      </c>
      <c r="C5" s="1" t="s">
        <v>63</v>
      </c>
      <c r="D5" s="6"/>
      <c r="G5" s="1" t="s">
        <v>64</v>
      </c>
      <c r="I5" s="1" t="s">
        <v>65</v>
      </c>
      <c r="J5" s="1" t="n">
        <v>4</v>
      </c>
      <c r="M5" s="6" t="s">
        <v>66</v>
      </c>
      <c r="N5" s="1" t="s">
        <v>67</v>
      </c>
    </row>
    <row r="6" customFormat="false" ht="15.75" hidden="false" customHeight="false" outlineLevel="0" collapsed="false">
      <c r="A6" s="1" t="s">
        <v>68</v>
      </c>
      <c r="B6" s="24" t="s">
        <v>69</v>
      </c>
      <c r="C6" s="1" t="s">
        <v>70</v>
      </c>
      <c r="D6" s="6"/>
      <c r="G6" s="1" t="s">
        <v>71</v>
      </c>
      <c r="I6" s="1" t="s">
        <v>72</v>
      </c>
      <c r="J6" s="1" t="n">
        <v>5</v>
      </c>
      <c r="M6" s="6" t="s">
        <v>73</v>
      </c>
      <c r="N6" s="1" t="s">
        <v>74</v>
      </c>
    </row>
    <row r="7" customFormat="false" ht="15.75" hidden="false" customHeight="false" outlineLevel="0" collapsed="false">
      <c r="A7" s="1" t="s">
        <v>75</v>
      </c>
      <c r="B7" s="24" t="s">
        <v>76</v>
      </c>
      <c r="D7" s="6"/>
      <c r="I7" s="1" t="s">
        <v>77</v>
      </c>
      <c r="J7" s="1" t="n">
        <v>6</v>
      </c>
      <c r="M7" s="6" t="s">
        <v>13</v>
      </c>
      <c r="N7" s="1" t="s">
        <v>78</v>
      </c>
    </row>
    <row r="8" customFormat="false" ht="15.75" hidden="false" customHeight="false" outlineLevel="0" collapsed="false">
      <c r="A8" s="1" t="s">
        <v>79</v>
      </c>
      <c r="B8" s="24" t="s">
        <v>80</v>
      </c>
      <c r="D8" s="6"/>
      <c r="I8" s="1" t="s">
        <v>81</v>
      </c>
      <c r="J8" s="1" t="n">
        <v>7</v>
      </c>
      <c r="M8" s="6" t="s">
        <v>82</v>
      </c>
      <c r="N8" s="1" t="s">
        <v>83</v>
      </c>
    </row>
    <row r="9" customFormat="false" ht="15.75" hidden="false" customHeight="false" outlineLevel="0" collapsed="false">
      <c r="A9" s="1" t="s">
        <v>84</v>
      </c>
      <c r="B9" s="24" t="s">
        <v>85</v>
      </c>
      <c r="D9" s="6"/>
      <c r="I9" s="1" t="s">
        <v>86</v>
      </c>
      <c r="J9" s="1" t="n">
        <v>8</v>
      </c>
      <c r="M9" s="6" t="s">
        <v>87</v>
      </c>
      <c r="N9" s="1" t="s">
        <v>88</v>
      </c>
    </row>
    <row r="10" customFormat="false" ht="15.75" hidden="false" customHeight="false" outlineLevel="0" collapsed="false">
      <c r="A10" s="1" t="s">
        <v>89</v>
      </c>
      <c r="B10" s="24" t="s">
        <v>90</v>
      </c>
      <c r="D10" s="6"/>
      <c r="I10" s="1" t="s">
        <v>91</v>
      </c>
      <c r="J10" s="1" t="n">
        <v>9</v>
      </c>
      <c r="M10" s="6" t="s">
        <v>92</v>
      </c>
      <c r="N10" s="1" t="s">
        <v>93</v>
      </c>
    </row>
    <row r="11" customFormat="false" ht="15.75" hidden="false" customHeight="false" outlineLevel="0" collapsed="false">
      <c r="A11" s="1" t="s">
        <v>94</v>
      </c>
      <c r="B11" s="24" t="s">
        <v>95</v>
      </c>
      <c r="D11" s="6"/>
      <c r="I11" s="1" t="s">
        <v>96</v>
      </c>
      <c r="J11" s="1" t="n">
        <v>10</v>
      </c>
      <c r="M11" s="6" t="s">
        <v>97</v>
      </c>
      <c r="N11" s="1" t="s">
        <v>98</v>
      </c>
    </row>
    <row r="12" customFormat="false" ht="15.75" hidden="false" customHeight="false" outlineLevel="0" collapsed="false">
      <c r="A12" s="1" t="s">
        <v>99</v>
      </c>
      <c r="B12" s="24" t="s">
        <v>100</v>
      </c>
      <c r="D12" s="6"/>
      <c r="I12" s="1" t="s">
        <v>101</v>
      </c>
      <c r="J12" s="1" t="n">
        <v>11</v>
      </c>
      <c r="M12" s="6" t="s">
        <v>102</v>
      </c>
      <c r="N12" s="1" t="s">
        <v>103</v>
      </c>
    </row>
    <row r="13" customFormat="false" ht="15.75" hidden="false" customHeight="false" outlineLevel="0" collapsed="false">
      <c r="A13" s="1" t="s">
        <v>104</v>
      </c>
      <c r="B13" s="24" t="s">
        <v>105</v>
      </c>
      <c r="D13" s="6"/>
      <c r="I13" s="1" t="s">
        <v>106</v>
      </c>
      <c r="J13" s="1" t="n">
        <v>12</v>
      </c>
      <c r="M13" s="6" t="s">
        <v>107</v>
      </c>
      <c r="N13" s="1" t="s">
        <v>108</v>
      </c>
    </row>
    <row r="14" customFormat="false" ht="15.75" hidden="false" customHeight="false" outlineLevel="0" collapsed="false">
      <c r="A14" s="1" t="s">
        <v>109</v>
      </c>
      <c r="B14" s="24" t="s">
        <v>110</v>
      </c>
      <c r="D14" s="6"/>
      <c r="I14" s="1" t="s">
        <v>111</v>
      </c>
      <c r="J14" s="1" t="n">
        <v>13</v>
      </c>
      <c r="M14" s="6" t="s">
        <v>112</v>
      </c>
      <c r="N14" s="1" t="s">
        <v>113</v>
      </c>
    </row>
    <row r="15" customFormat="false" ht="15.75" hidden="false" customHeight="false" outlineLevel="0" collapsed="false">
      <c r="A15" s="1" t="s">
        <v>114</v>
      </c>
      <c r="B15" s="24" t="s">
        <v>115</v>
      </c>
      <c r="I15" s="1" t="s">
        <v>116</v>
      </c>
      <c r="J15" s="1" t="n">
        <v>14</v>
      </c>
      <c r="M15" s="6" t="s">
        <v>117</v>
      </c>
      <c r="N15" s="1" t="s">
        <v>118</v>
      </c>
    </row>
    <row r="16" customFormat="false" ht="15" hidden="false" customHeight="false" outlineLevel="0" collapsed="false">
      <c r="A16" s="1" t="s">
        <v>119</v>
      </c>
      <c r="B16" s="24" t="s">
        <v>120</v>
      </c>
      <c r="I16" s="1" t="s">
        <v>121</v>
      </c>
      <c r="J16" s="1" t="n">
        <v>15</v>
      </c>
      <c r="M16" s="1" t="s">
        <v>122</v>
      </c>
      <c r="N16" s="1" t="s">
        <v>123</v>
      </c>
    </row>
    <row r="17" customFormat="false" ht="15" hidden="false" customHeight="false" outlineLevel="0" collapsed="false">
      <c r="A17" s="1" t="s">
        <v>124</v>
      </c>
      <c r="B17" s="24" t="s">
        <v>125</v>
      </c>
      <c r="I17" s="1" t="s">
        <v>126</v>
      </c>
      <c r="J17" s="1" t="n">
        <v>16</v>
      </c>
      <c r="M17" s="1" t="s">
        <v>127</v>
      </c>
      <c r="N17" s="1" t="s">
        <v>128</v>
      </c>
    </row>
    <row r="18" customFormat="false" ht="15" hidden="false" customHeight="false" outlineLevel="0" collapsed="false">
      <c r="A18" s="1" t="s">
        <v>129</v>
      </c>
      <c r="B18" s="24" t="s">
        <v>130</v>
      </c>
      <c r="I18" s="1" t="s">
        <v>131</v>
      </c>
      <c r="J18" s="1" t="n">
        <v>14018</v>
      </c>
      <c r="M18" s="1" t="s">
        <v>132</v>
      </c>
      <c r="N18" s="1" t="s">
        <v>133</v>
      </c>
    </row>
    <row r="19" customFormat="false" ht="15" hidden="false" customHeight="false" outlineLevel="0" collapsed="false">
      <c r="A19" s="1" t="s">
        <v>134</v>
      </c>
      <c r="B19" s="24" t="s">
        <v>135</v>
      </c>
      <c r="I19" s="1" t="s">
        <v>136</v>
      </c>
      <c r="J19" s="1" t="n">
        <v>14003</v>
      </c>
      <c r="M19" s="1" t="s">
        <v>137</v>
      </c>
      <c r="N19" s="1" t="s">
        <v>60</v>
      </c>
    </row>
    <row r="20" customFormat="false" ht="15" hidden="false" customHeight="false" outlineLevel="0" collapsed="false">
      <c r="A20" s="1" t="s">
        <v>138</v>
      </c>
      <c r="B20" s="24" t="s">
        <v>139</v>
      </c>
      <c r="I20" s="1" t="s">
        <v>140</v>
      </c>
      <c r="J20" s="1" t="n">
        <v>14014</v>
      </c>
      <c r="M20" s="1" t="s">
        <v>141</v>
      </c>
      <c r="N20" s="1" t="s">
        <v>142</v>
      </c>
    </row>
    <row r="21" customFormat="false" ht="15" hidden="false" customHeight="false" outlineLevel="0" collapsed="false">
      <c r="A21" s="1" t="s">
        <v>143</v>
      </c>
      <c r="B21" s="24" t="s">
        <v>144</v>
      </c>
      <c r="I21" s="1" t="s">
        <v>145</v>
      </c>
      <c r="J21" s="1" t="n">
        <v>14002</v>
      </c>
      <c r="M21" s="1" t="s">
        <v>146</v>
      </c>
      <c r="N21" s="1" t="s">
        <v>147</v>
      </c>
    </row>
    <row r="22" customFormat="false" ht="15" hidden="false" customHeight="false" outlineLevel="0" collapsed="false">
      <c r="A22" s="1" t="s">
        <v>148</v>
      </c>
      <c r="B22" s="24" t="s">
        <v>149</v>
      </c>
      <c r="I22" s="1" t="s">
        <v>150</v>
      </c>
      <c r="J22" s="1" t="n">
        <v>14005</v>
      </c>
      <c r="M22" s="1" t="s">
        <v>151</v>
      </c>
      <c r="N22" s="1" t="s">
        <v>152</v>
      </c>
    </row>
    <row r="23" customFormat="false" ht="15" hidden="false" customHeight="false" outlineLevel="0" collapsed="false">
      <c r="A23" s="1" t="s">
        <v>153</v>
      </c>
      <c r="B23" s="24" t="s">
        <v>154</v>
      </c>
      <c r="I23" s="1" t="s">
        <v>155</v>
      </c>
      <c r="J23" s="1" t="n">
        <v>14016</v>
      </c>
      <c r="M23" s="1" t="s">
        <v>156</v>
      </c>
      <c r="N23" s="1" t="s">
        <v>157</v>
      </c>
    </row>
    <row r="24" customFormat="false" ht="15" hidden="false" customHeight="false" outlineLevel="0" collapsed="false">
      <c r="A24" s="1" t="s">
        <v>158</v>
      </c>
      <c r="B24" s="24" t="s">
        <v>159</v>
      </c>
      <c r="I24" s="1" t="s">
        <v>160</v>
      </c>
      <c r="J24" s="1" t="n">
        <v>14017</v>
      </c>
      <c r="M24" s="1" t="s">
        <v>161</v>
      </c>
      <c r="N24" s="1" t="s">
        <v>162</v>
      </c>
    </row>
    <row r="25" customFormat="false" ht="15" hidden="false" customHeight="false" outlineLevel="0" collapsed="false">
      <c r="A25" s="1" t="s">
        <v>163</v>
      </c>
      <c r="B25" s="24" t="s">
        <v>164</v>
      </c>
      <c r="I25" s="1" t="s">
        <v>165</v>
      </c>
      <c r="J25" s="1" t="n">
        <v>14001</v>
      </c>
      <c r="M25" s="1" t="s">
        <v>166</v>
      </c>
      <c r="N25" s="1" t="s">
        <v>167</v>
      </c>
    </row>
    <row r="26" customFormat="false" ht="15" hidden="false" customHeight="false" outlineLevel="0" collapsed="false">
      <c r="A26" s="1" t="s">
        <v>168</v>
      </c>
      <c r="B26" s="24" t="s">
        <v>169</v>
      </c>
      <c r="I26" s="1" t="s">
        <v>170</v>
      </c>
      <c r="J26" s="1" t="n">
        <v>14015</v>
      </c>
      <c r="M26" s="1" t="s">
        <v>171</v>
      </c>
      <c r="N26" s="1" t="s">
        <v>172</v>
      </c>
    </row>
    <row r="27" customFormat="false" ht="15" hidden="false" customHeight="false" outlineLevel="0" collapsed="false">
      <c r="A27" s="1" t="s">
        <v>173</v>
      </c>
      <c r="B27" s="24" t="s">
        <v>174</v>
      </c>
      <c r="I27" s="1" t="s">
        <v>175</v>
      </c>
      <c r="J27" s="1" t="n">
        <v>14007</v>
      </c>
      <c r="M27" s="1" t="s">
        <v>176</v>
      </c>
      <c r="N27" s="1" t="s">
        <v>177</v>
      </c>
    </row>
    <row r="28" customFormat="false" ht="15" hidden="false" customHeight="false" outlineLevel="0" collapsed="false">
      <c r="A28" s="1" t="s">
        <v>178</v>
      </c>
      <c r="B28" s="24" t="s">
        <v>179</v>
      </c>
      <c r="I28" s="1" t="s">
        <v>180</v>
      </c>
      <c r="J28" s="1" t="n">
        <v>14006</v>
      </c>
      <c r="M28" s="25" t="s">
        <v>181</v>
      </c>
      <c r="N28" s="25" t="s">
        <v>182</v>
      </c>
    </row>
    <row r="29" customFormat="false" ht="15" hidden="false" customHeight="false" outlineLevel="0" collapsed="false">
      <c r="A29" s="1" t="s">
        <v>183</v>
      </c>
      <c r="B29" s="24" t="s">
        <v>184</v>
      </c>
      <c r="I29" s="1" t="s">
        <v>185</v>
      </c>
      <c r="J29" s="1" t="n">
        <v>14019</v>
      </c>
      <c r="M29" s="1" t="s">
        <v>186</v>
      </c>
      <c r="N29" s="1" t="s">
        <v>187</v>
      </c>
    </row>
    <row r="30" customFormat="false" ht="15" hidden="false" customHeight="false" outlineLevel="0" collapsed="false">
      <c r="A30" s="1" t="s">
        <v>188</v>
      </c>
      <c r="B30" s="24" t="s">
        <v>189</v>
      </c>
      <c r="M30" s="1" t="s">
        <v>190</v>
      </c>
      <c r="N30" s="1" t="s">
        <v>191</v>
      </c>
    </row>
    <row r="31" customFormat="false" ht="15" hidden="false" customHeight="false" outlineLevel="0" collapsed="false">
      <c r="A31" s="1" t="s">
        <v>192</v>
      </c>
      <c r="B31" s="24" t="s">
        <v>193</v>
      </c>
      <c r="M31" s="1" t="s">
        <v>194</v>
      </c>
      <c r="N31" s="1" t="s">
        <v>195</v>
      </c>
    </row>
    <row r="32" customFormat="false" ht="15" hidden="false" customHeight="false" outlineLevel="0" collapsed="false">
      <c r="A32" s="1" t="s">
        <v>196</v>
      </c>
      <c r="B32" s="24" t="s">
        <v>197</v>
      </c>
      <c r="M32" s="1" t="s">
        <v>198</v>
      </c>
      <c r="N32" s="1" t="s">
        <v>199</v>
      </c>
    </row>
    <row r="33" customFormat="false" ht="15" hidden="false" customHeight="false" outlineLevel="0" collapsed="false">
      <c r="A33" s="1" t="s">
        <v>200</v>
      </c>
      <c r="B33" s="24" t="s">
        <v>201</v>
      </c>
      <c r="M33" s="1" t="s">
        <v>202</v>
      </c>
      <c r="N33" s="1" t="s">
        <v>203</v>
      </c>
    </row>
    <row r="34" customFormat="false" ht="15" hidden="false" customHeight="false" outlineLevel="0" collapsed="false">
      <c r="A34" s="1" t="s">
        <v>204</v>
      </c>
      <c r="B34" s="24" t="s">
        <v>205</v>
      </c>
      <c r="M34" s="1" t="s">
        <v>206</v>
      </c>
      <c r="N34" s="1" t="s">
        <v>207</v>
      </c>
    </row>
    <row r="35" customFormat="false" ht="15" hidden="false" customHeight="false" outlineLevel="0" collapsed="false">
      <c r="A35" s="1" t="s">
        <v>208</v>
      </c>
      <c r="B35" s="24" t="s">
        <v>209</v>
      </c>
      <c r="M35" s="25" t="s">
        <v>210</v>
      </c>
      <c r="N35" s="25" t="s">
        <v>211</v>
      </c>
    </row>
    <row r="36" customFormat="false" ht="15" hidden="false" customHeight="false" outlineLevel="0" collapsed="false">
      <c r="A36" s="1" t="s">
        <v>212</v>
      </c>
      <c r="B36" s="24" t="s">
        <v>213</v>
      </c>
      <c r="M36" s="25" t="s">
        <v>214</v>
      </c>
      <c r="N36" s="25" t="s">
        <v>215</v>
      </c>
    </row>
    <row r="37" customFormat="false" ht="15" hidden="false" customHeight="false" outlineLevel="0" collapsed="false">
      <c r="A37" s="1" t="s">
        <v>216</v>
      </c>
      <c r="B37" s="24" t="s">
        <v>217</v>
      </c>
      <c r="M37" s="25" t="s">
        <v>218</v>
      </c>
      <c r="N37" s="25" t="s">
        <v>219</v>
      </c>
    </row>
    <row r="38" customFormat="false" ht="15" hidden="false" customHeight="false" outlineLevel="0" collapsed="false">
      <c r="A38" s="1" t="s">
        <v>220</v>
      </c>
      <c r="B38" s="24" t="s">
        <v>221</v>
      </c>
      <c r="M38" s="1" t="s">
        <v>222</v>
      </c>
      <c r="N38" s="1" t="s">
        <v>223</v>
      </c>
    </row>
    <row r="39" customFormat="false" ht="15.75" hidden="false" customHeight="false" outlineLevel="0" collapsed="false">
      <c r="A39" s="1" t="s">
        <v>224</v>
      </c>
      <c r="B39" s="24" t="s">
        <v>225</v>
      </c>
    </row>
    <row r="40" customFormat="false" ht="15.75" hidden="false" customHeight="false" outlineLevel="0" collapsed="false">
      <c r="A40" s="1" t="s">
        <v>226</v>
      </c>
      <c r="B40" s="24" t="s">
        <v>227</v>
      </c>
    </row>
    <row r="41" customFormat="false" ht="15.75" hidden="false" customHeight="false" outlineLevel="0" collapsed="false">
      <c r="A41" s="1" t="s">
        <v>228</v>
      </c>
      <c r="B41" s="24" t="s">
        <v>229</v>
      </c>
    </row>
    <row r="42" customFormat="false" ht="15.75" hidden="false" customHeight="false" outlineLevel="0" collapsed="false">
      <c r="A42" s="1" t="s">
        <v>230</v>
      </c>
      <c r="B42" s="24" t="s">
        <v>231</v>
      </c>
    </row>
    <row r="43" customFormat="false" ht="15.75" hidden="false" customHeight="false" outlineLevel="0" collapsed="false">
      <c r="A43" s="1" t="s">
        <v>232</v>
      </c>
      <c r="B43" s="24" t="s">
        <v>233</v>
      </c>
    </row>
    <row r="44" customFormat="false" ht="15.75" hidden="false" customHeight="false" outlineLevel="0" collapsed="false">
      <c r="A44" s="1" t="s">
        <v>234</v>
      </c>
      <c r="B44" s="24" t="s">
        <v>235</v>
      </c>
    </row>
    <row r="45" customFormat="false" ht="15.75" hidden="false" customHeight="false" outlineLevel="0" collapsed="false">
      <c r="A45" s="1" t="s">
        <v>236</v>
      </c>
      <c r="B45" s="24" t="s">
        <v>237</v>
      </c>
    </row>
    <row r="46" customFormat="false" ht="15.75" hidden="false" customHeight="false" outlineLevel="0" collapsed="false">
      <c r="A46" s="1" t="s">
        <v>238</v>
      </c>
      <c r="B46" s="24" t="s">
        <v>239</v>
      </c>
    </row>
    <row r="47" customFormat="false" ht="15.75" hidden="false" customHeight="false" outlineLevel="0" collapsed="false">
      <c r="A47" s="1" t="s">
        <v>240</v>
      </c>
      <c r="B47" s="24" t="s">
        <v>241</v>
      </c>
    </row>
    <row r="48" customFormat="false" ht="15.75" hidden="false" customHeight="false" outlineLevel="0" collapsed="false">
      <c r="A48" s="1" t="s">
        <v>242</v>
      </c>
      <c r="B48" s="24" t="s">
        <v>243</v>
      </c>
    </row>
    <row r="49" customFormat="false" ht="15.75" hidden="false" customHeight="false" outlineLevel="0" collapsed="false">
      <c r="A49" s="1" t="s">
        <v>244</v>
      </c>
      <c r="B49" s="24" t="s">
        <v>245</v>
      </c>
    </row>
    <row r="50" customFormat="false" ht="15.75" hidden="false" customHeight="false" outlineLevel="0" collapsed="false">
      <c r="A50" s="1" t="s">
        <v>246</v>
      </c>
      <c r="B50" s="24" t="s">
        <v>247</v>
      </c>
    </row>
    <row r="51" customFormat="false" ht="15.75" hidden="false" customHeight="false" outlineLevel="0" collapsed="false">
      <c r="A51" s="1" t="s">
        <v>248</v>
      </c>
      <c r="B51" s="24" t="s">
        <v>249</v>
      </c>
    </row>
    <row r="52" customFormat="false" ht="15.75" hidden="false" customHeight="false" outlineLevel="0" collapsed="false">
      <c r="A52" s="1" t="s">
        <v>250</v>
      </c>
      <c r="B52" s="24" t="s">
        <v>251</v>
      </c>
    </row>
    <row r="53" customFormat="false" ht="15.75" hidden="false" customHeight="false" outlineLevel="0" collapsed="false">
      <c r="A53" s="1" t="s">
        <v>252</v>
      </c>
      <c r="B53" s="24" t="s">
        <v>253</v>
      </c>
    </row>
    <row r="54" customFormat="false" ht="15.75" hidden="false" customHeight="false" outlineLevel="0" collapsed="false">
      <c r="A54" s="1" t="s">
        <v>254</v>
      </c>
      <c r="B54" s="24" t="s">
        <v>255</v>
      </c>
    </row>
    <row r="55" customFormat="false" ht="15.75" hidden="false" customHeight="false" outlineLevel="0" collapsed="false">
      <c r="A55" s="1" t="s">
        <v>256</v>
      </c>
      <c r="B55" s="24" t="s">
        <v>257</v>
      </c>
    </row>
    <row r="56" customFormat="false" ht="15.75" hidden="false" customHeight="false" outlineLevel="0" collapsed="false">
      <c r="A56" s="1" t="s">
        <v>258</v>
      </c>
      <c r="B56" s="24" t="s">
        <v>259</v>
      </c>
    </row>
    <row r="57" customFormat="false" ht="15.75" hidden="false" customHeight="false" outlineLevel="0" collapsed="false">
      <c r="A57" s="1" t="s">
        <v>260</v>
      </c>
      <c r="B57" s="24" t="s">
        <v>261</v>
      </c>
    </row>
    <row r="58" customFormat="false" ht="15.75" hidden="false" customHeight="false" outlineLevel="0" collapsed="false">
      <c r="A58" s="1" t="s">
        <v>262</v>
      </c>
      <c r="B58" s="24" t="s">
        <v>263</v>
      </c>
    </row>
    <row r="59" customFormat="false" ht="15.75" hidden="false" customHeight="false" outlineLevel="0" collapsed="false">
      <c r="A59" s="1" t="s">
        <v>264</v>
      </c>
      <c r="B59" s="24" t="s">
        <v>265</v>
      </c>
    </row>
    <row r="60" customFormat="false" ht="15.75" hidden="false" customHeight="false" outlineLevel="0" collapsed="false">
      <c r="A60" s="1" t="s">
        <v>266</v>
      </c>
      <c r="B60" s="24" t="s">
        <v>267</v>
      </c>
    </row>
    <row r="61" customFormat="false" ht="15.75" hidden="false" customHeight="false" outlineLevel="0" collapsed="false">
      <c r="A61" s="1" t="s">
        <v>268</v>
      </c>
      <c r="B61" s="24" t="s">
        <v>269</v>
      </c>
    </row>
    <row r="62" customFormat="false" ht="15.75" hidden="false" customHeight="false" outlineLevel="0" collapsed="false">
      <c r="A62" s="1" t="s">
        <v>270</v>
      </c>
      <c r="B62" s="24" t="s">
        <v>271</v>
      </c>
    </row>
    <row r="63" customFormat="false" ht="15.75" hidden="false" customHeight="false" outlineLevel="0" collapsed="false">
      <c r="A63" s="1" t="s">
        <v>272</v>
      </c>
      <c r="B63" s="24" t="s">
        <v>273</v>
      </c>
    </row>
    <row r="64" customFormat="false" ht="15.75" hidden="false" customHeight="false" outlineLevel="0" collapsed="false">
      <c r="A64" s="1" t="s">
        <v>274</v>
      </c>
      <c r="B64" s="24" t="s">
        <v>275</v>
      </c>
    </row>
    <row r="65" customFormat="false" ht="15.75" hidden="false" customHeight="false" outlineLevel="0" collapsed="false">
      <c r="A65" s="1" t="s">
        <v>276</v>
      </c>
      <c r="B65" s="24" t="s">
        <v>277</v>
      </c>
    </row>
    <row r="66" customFormat="false" ht="15.75" hidden="false" customHeight="false" outlineLevel="0" collapsed="false">
      <c r="A66" s="1" t="s">
        <v>278</v>
      </c>
      <c r="B66" s="24" t="s">
        <v>279</v>
      </c>
    </row>
    <row r="67" customFormat="false" ht="15.75" hidden="false" customHeight="false" outlineLevel="0" collapsed="false">
      <c r="A67" s="1" t="s">
        <v>280</v>
      </c>
      <c r="B67" s="24" t="s">
        <v>281</v>
      </c>
    </row>
    <row r="68" customFormat="false" ht="15.75" hidden="false" customHeight="false" outlineLevel="0" collapsed="false">
      <c r="A68" s="1" t="s">
        <v>282</v>
      </c>
      <c r="B68" s="24" t="s">
        <v>283</v>
      </c>
    </row>
    <row r="69" customFormat="false" ht="15.75" hidden="false" customHeight="false" outlineLevel="0" collapsed="false">
      <c r="A69" s="1" t="s">
        <v>284</v>
      </c>
      <c r="B69" s="24" t="s">
        <v>285</v>
      </c>
    </row>
    <row r="70" customFormat="false" ht="15.75" hidden="false" customHeight="false" outlineLevel="0" collapsed="false">
      <c r="A70" s="1" t="s">
        <v>286</v>
      </c>
      <c r="B70" s="24" t="s">
        <v>287</v>
      </c>
    </row>
    <row r="71" customFormat="false" ht="15.75" hidden="false" customHeight="false" outlineLevel="0" collapsed="false">
      <c r="A71" s="1" t="s">
        <v>288</v>
      </c>
      <c r="B71" s="24" t="s">
        <v>289</v>
      </c>
    </row>
    <row r="72" customFormat="false" ht="15.75" hidden="false" customHeight="false" outlineLevel="0" collapsed="false">
      <c r="A72" s="1" t="s">
        <v>290</v>
      </c>
      <c r="B72" s="24" t="s">
        <v>291</v>
      </c>
    </row>
    <row r="73" customFormat="false" ht="15.75" hidden="false" customHeight="false" outlineLevel="0" collapsed="false">
      <c r="A73" s="1" t="s">
        <v>292</v>
      </c>
      <c r="B73" s="24" t="s">
        <v>293</v>
      </c>
    </row>
    <row r="74" customFormat="false" ht="15.75" hidden="false" customHeight="false" outlineLevel="0" collapsed="false">
      <c r="A74" s="1" t="s">
        <v>294</v>
      </c>
      <c r="B74" s="24" t="s">
        <v>295</v>
      </c>
    </row>
    <row r="75" customFormat="false" ht="15.75" hidden="false" customHeight="false" outlineLevel="0" collapsed="false">
      <c r="A75" s="1" t="s">
        <v>296</v>
      </c>
      <c r="B75" s="24" t="s">
        <v>297</v>
      </c>
    </row>
    <row r="76" customFormat="false" ht="15.75" hidden="false" customHeight="false" outlineLevel="0" collapsed="false">
      <c r="A76" s="1" t="s">
        <v>298</v>
      </c>
      <c r="B76" s="24" t="s">
        <v>299</v>
      </c>
    </row>
    <row r="77" customFormat="false" ht="15.75" hidden="false" customHeight="false" outlineLevel="0" collapsed="false">
      <c r="A77" s="1" t="s">
        <v>300</v>
      </c>
      <c r="B77" s="24" t="s">
        <v>301</v>
      </c>
    </row>
    <row r="78" customFormat="false" ht="15.75" hidden="false" customHeight="false" outlineLevel="0" collapsed="false">
      <c r="A78" s="1" t="s">
        <v>302</v>
      </c>
      <c r="B78" s="24" t="s">
        <v>303</v>
      </c>
    </row>
    <row r="79" customFormat="false" ht="15.75" hidden="false" customHeight="false" outlineLevel="0" collapsed="false">
      <c r="A79" s="1" t="s">
        <v>304</v>
      </c>
      <c r="B79" s="24" t="s">
        <v>305</v>
      </c>
    </row>
    <row r="80" customFormat="false" ht="15.75" hidden="false" customHeight="false" outlineLevel="0" collapsed="false">
      <c r="A80" s="1" t="s">
        <v>306</v>
      </c>
      <c r="B80" s="24" t="s">
        <v>307</v>
      </c>
    </row>
    <row r="81" customFormat="false" ht="15.75" hidden="false" customHeight="false" outlineLevel="0" collapsed="false">
      <c r="A81" s="1" t="s">
        <v>308</v>
      </c>
      <c r="B81" s="24" t="s">
        <v>309</v>
      </c>
    </row>
    <row r="82" customFormat="false" ht="15.75" hidden="false" customHeight="false" outlineLevel="0" collapsed="false">
      <c r="A82" s="1" t="s">
        <v>310</v>
      </c>
      <c r="B82" s="24" t="s">
        <v>311</v>
      </c>
    </row>
    <row r="83" customFormat="false" ht="15.75" hidden="false" customHeight="false" outlineLevel="0" collapsed="false">
      <c r="A83" s="1" t="s">
        <v>312</v>
      </c>
      <c r="B83" s="24" t="s">
        <v>313</v>
      </c>
    </row>
    <row r="84" customFormat="false" ht="15.75" hidden="false" customHeight="false" outlineLevel="0" collapsed="false">
      <c r="A84" s="1" t="s">
        <v>314</v>
      </c>
      <c r="B84" s="24" t="s">
        <v>315</v>
      </c>
    </row>
    <row r="85" customFormat="false" ht="15.75" hidden="false" customHeight="false" outlineLevel="0" collapsed="false">
      <c r="A85" s="1" t="s">
        <v>316</v>
      </c>
      <c r="B85" s="24" t="s">
        <v>317</v>
      </c>
    </row>
    <row r="86" customFormat="false" ht="15.75" hidden="false" customHeight="false" outlineLevel="0" collapsed="false">
      <c r="A86" s="1" t="s">
        <v>318</v>
      </c>
      <c r="B86" s="24" t="s">
        <v>319</v>
      </c>
    </row>
    <row r="87" customFormat="false" ht="15.75" hidden="false" customHeight="false" outlineLevel="0" collapsed="false">
      <c r="A87" s="1" t="s">
        <v>320</v>
      </c>
      <c r="B87" s="24" t="s">
        <v>321</v>
      </c>
    </row>
    <row r="88" customFormat="false" ht="15.75" hidden="false" customHeight="false" outlineLevel="0" collapsed="false">
      <c r="A88" s="1" t="s">
        <v>322</v>
      </c>
      <c r="B88" s="24" t="s">
        <v>323</v>
      </c>
    </row>
    <row r="89" customFormat="false" ht="15.75" hidden="false" customHeight="false" outlineLevel="0" collapsed="false">
      <c r="A89" s="1" t="s">
        <v>324</v>
      </c>
      <c r="B89" s="24" t="s">
        <v>325</v>
      </c>
    </row>
    <row r="90" customFormat="false" ht="15.75" hidden="false" customHeight="false" outlineLevel="0" collapsed="false">
      <c r="A90" s="1" t="s">
        <v>326</v>
      </c>
      <c r="B90" s="24" t="s">
        <v>327</v>
      </c>
    </row>
    <row r="91" customFormat="false" ht="15.75" hidden="false" customHeight="false" outlineLevel="0" collapsed="false">
      <c r="A91" s="1" t="s">
        <v>328</v>
      </c>
      <c r="B91" s="24" t="s">
        <v>329</v>
      </c>
    </row>
    <row r="92" customFormat="false" ht="15.75" hidden="false" customHeight="false" outlineLevel="0" collapsed="false">
      <c r="A92" s="1" t="s">
        <v>330</v>
      </c>
      <c r="B92" s="24" t="s">
        <v>331</v>
      </c>
    </row>
    <row r="93" customFormat="false" ht="15.75" hidden="false" customHeight="false" outlineLevel="0" collapsed="false">
      <c r="A93" s="1" t="s">
        <v>332</v>
      </c>
      <c r="B93" s="24" t="s">
        <v>333</v>
      </c>
    </row>
    <row r="94" customFormat="false" ht="15.75" hidden="false" customHeight="false" outlineLevel="0" collapsed="false">
      <c r="A94" s="1" t="s">
        <v>334</v>
      </c>
      <c r="B94" s="24" t="s">
        <v>335</v>
      </c>
    </row>
    <row r="95" customFormat="false" ht="15.75" hidden="false" customHeight="false" outlineLevel="0" collapsed="false">
      <c r="A95" s="1" t="s">
        <v>336</v>
      </c>
      <c r="B95" s="24" t="s">
        <v>337</v>
      </c>
    </row>
    <row r="96" customFormat="false" ht="15.75" hidden="false" customHeight="false" outlineLevel="0" collapsed="false">
      <c r="A96" s="1" t="s">
        <v>338</v>
      </c>
      <c r="B96" s="24" t="s">
        <v>339</v>
      </c>
    </row>
    <row r="97" customFormat="false" ht="15.75" hidden="false" customHeight="false" outlineLevel="0" collapsed="false">
      <c r="A97" s="1" t="s">
        <v>340</v>
      </c>
      <c r="B97" s="24" t="s">
        <v>341</v>
      </c>
    </row>
    <row r="98" customFormat="false" ht="15.75" hidden="false" customHeight="false" outlineLevel="0" collapsed="false">
      <c r="A98" s="1" t="s">
        <v>342</v>
      </c>
      <c r="B98" s="24" t="s">
        <v>343</v>
      </c>
    </row>
    <row r="99" customFormat="false" ht="15.75" hidden="false" customHeight="false" outlineLevel="0" collapsed="false">
      <c r="A99" s="1" t="s">
        <v>344</v>
      </c>
      <c r="B99" s="24" t="s">
        <v>345</v>
      </c>
    </row>
    <row r="100" customFormat="false" ht="15.75" hidden="false" customHeight="false" outlineLevel="0" collapsed="false">
      <c r="A100" s="1" t="s">
        <v>346</v>
      </c>
      <c r="B100" s="24" t="s">
        <v>347</v>
      </c>
    </row>
    <row r="101" customFormat="false" ht="15.75" hidden="false" customHeight="false" outlineLevel="0" collapsed="false">
      <c r="A101" s="1" t="s">
        <v>348</v>
      </c>
      <c r="B101" s="24" t="s">
        <v>349</v>
      </c>
    </row>
    <row r="102" customFormat="false" ht="15.75" hidden="false" customHeight="false" outlineLevel="0" collapsed="false">
      <c r="A102" s="1" t="s">
        <v>350</v>
      </c>
      <c r="B102" s="24" t="s">
        <v>351</v>
      </c>
    </row>
    <row r="103" customFormat="false" ht="15.75" hidden="false" customHeight="false" outlineLevel="0" collapsed="false">
      <c r="A103" s="1" t="s">
        <v>352</v>
      </c>
      <c r="B103" s="24" t="s">
        <v>353</v>
      </c>
    </row>
    <row r="104" customFormat="false" ht="15.75" hidden="false" customHeight="false" outlineLevel="0" collapsed="false">
      <c r="A104" s="1" t="s">
        <v>354</v>
      </c>
      <c r="B104" s="24" t="s">
        <v>355</v>
      </c>
    </row>
    <row r="105" customFormat="false" ht="15.75" hidden="false" customHeight="false" outlineLevel="0" collapsed="false">
      <c r="A105" s="1" t="s">
        <v>356</v>
      </c>
      <c r="B105" s="24" t="s">
        <v>357</v>
      </c>
    </row>
    <row r="106" customFormat="false" ht="15.75" hidden="false" customHeight="false" outlineLevel="0" collapsed="false">
      <c r="A106" s="1" t="s">
        <v>358</v>
      </c>
      <c r="B106" s="24" t="s">
        <v>359</v>
      </c>
    </row>
    <row r="107" customFormat="false" ht="15.75" hidden="false" customHeight="false" outlineLevel="0" collapsed="false">
      <c r="A107" s="1" t="s">
        <v>360</v>
      </c>
      <c r="B107" s="24" t="s">
        <v>361</v>
      </c>
    </row>
    <row r="108" customFormat="false" ht="15.75" hidden="false" customHeight="false" outlineLevel="0" collapsed="false">
      <c r="A108" s="1" t="s">
        <v>362</v>
      </c>
      <c r="B108" s="24" t="s">
        <v>363</v>
      </c>
    </row>
    <row r="109" customFormat="false" ht="15.75" hidden="false" customHeight="false" outlineLevel="0" collapsed="false">
      <c r="A109" s="1" t="s">
        <v>364</v>
      </c>
      <c r="B109" s="24" t="s">
        <v>365</v>
      </c>
    </row>
    <row r="110" customFormat="false" ht="15.75" hidden="false" customHeight="false" outlineLevel="0" collapsed="false">
      <c r="A110" s="1" t="s">
        <v>366</v>
      </c>
      <c r="B110" s="24" t="s">
        <v>367</v>
      </c>
    </row>
    <row r="111" customFormat="false" ht="15.75" hidden="false" customHeight="false" outlineLevel="0" collapsed="false">
      <c r="A111" s="1" t="s">
        <v>368</v>
      </c>
      <c r="B111" s="24" t="s">
        <v>369</v>
      </c>
    </row>
    <row r="112" customFormat="false" ht="15.75" hidden="false" customHeight="false" outlineLevel="0" collapsed="false">
      <c r="A112" s="1" t="s">
        <v>370</v>
      </c>
      <c r="B112" s="24" t="s">
        <v>371</v>
      </c>
    </row>
    <row r="113" customFormat="false" ht="15.75" hidden="false" customHeight="false" outlineLevel="0" collapsed="false">
      <c r="A113" s="1" t="s">
        <v>372</v>
      </c>
      <c r="B113" s="24" t="s">
        <v>373</v>
      </c>
    </row>
    <row r="114" customFormat="false" ht="15.75" hidden="false" customHeight="false" outlineLevel="0" collapsed="false">
      <c r="A114" s="1" t="s">
        <v>374</v>
      </c>
      <c r="B114" s="24" t="s">
        <v>375</v>
      </c>
    </row>
    <row r="115" customFormat="false" ht="15.75" hidden="false" customHeight="false" outlineLevel="0" collapsed="false">
      <c r="A115" s="1" t="s">
        <v>376</v>
      </c>
      <c r="B115" s="24" t="s">
        <v>377</v>
      </c>
    </row>
    <row r="116" customFormat="false" ht="15.75" hidden="false" customHeight="false" outlineLevel="0" collapsed="false">
      <c r="A116" s="1" t="s">
        <v>378</v>
      </c>
      <c r="B116" s="24" t="s">
        <v>379</v>
      </c>
    </row>
    <row r="117" customFormat="false" ht="15.75" hidden="false" customHeight="false" outlineLevel="0" collapsed="false">
      <c r="A117" s="1" t="s">
        <v>380</v>
      </c>
      <c r="B117" s="24" t="s">
        <v>381</v>
      </c>
    </row>
    <row r="118" customFormat="false" ht="15.75" hidden="false" customHeight="false" outlineLevel="0" collapsed="false">
      <c r="A118" s="1" t="s">
        <v>382</v>
      </c>
      <c r="B118" s="24" t="s">
        <v>383</v>
      </c>
    </row>
    <row r="119" customFormat="false" ht="15.75" hidden="false" customHeight="false" outlineLevel="0" collapsed="false">
      <c r="A119" s="1" t="s">
        <v>384</v>
      </c>
      <c r="B119" s="24" t="s">
        <v>385</v>
      </c>
    </row>
    <row r="120" customFormat="false" ht="15.75" hidden="false" customHeight="false" outlineLevel="0" collapsed="false">
      <c r="A120" s="1" t="s">
        <v>386</v>
      </c>
      <c r="B120" s="24" t="s">
        <v>387</v>
      </c>
    </row>
    <row r="121" customFormat="false" ht="15.75" hidden="false" customHeight="false" outlineLevel="0" collapsed="false">
      <c r="A121" s="1" t="s">
        <v>388</v>
      </c>
      <c r="B121" s="24" t="s">
        <v>389</v>
      </c>
    </row>
    <row r="122" customFormat="false" ht="15.75" hidden="false" customHeight="false" outlineLevel="0" collapsed="false">
      <c r="A122" s="1" t="s">
        <v>390</v>
      </c>
      <c r="B122" s="24" t="s">
        <v>391</v>
      </c>
    </row>
    <row r="123" customFormat="false" ht="15.75" hidden="false" customHeight="false" outlineLevel="0" collapsed="false">
      <c r="A123" s="1" t="s">
        <v>392</v>
      </c>
      <c r="B123" s="24" t="s">
        <v>393</v>
      </c>
    </row>
    <row r="124" customFormat="false" ht="15.75" hidden="false" customHeight="false" outlineLevel="0" collapsed="false">
      <c r="A124" s="1" t="s">
        <v>394</v>
      </c>
      <c r="B124" s="24" t="s">
        <v>395</v>
      </c>
    </row>
    <row r="125" customFormat="false" ht="15.75" hidden="false" customHeight="false" outlineLevel="0" collapsed="false">
      <c r="A125" s="1" t="s">
        <v>396</v>
      </c>
      <c r="B125" s="24" t="s">
        <v>397</v>
      </c>
    </row>
    <row r="126" customFormat="false" ht="15.75" hidden="false" customHeight="false" outlineLevel="0" collapsed="false">
      <c r="A126" s="1" t="s">
        <v>398</v>
      </c>
      <c r="B126" s="24" t="s">
        <v>399</v>
      </c>
    </row>
    <row r="127" customFormat="false" ht="15.75" hidden="false" customHeight="false" outlineLevel="0" collapsed="false">
      <c r="A127" s="1" t="s">
        <v>400</v>
      </c>
      <c r="B127" s="24" t="s">
        <v>401</v>
      </c>
    </row>
    <row r="128" customFormat="false" ht="15.75" hidden="false" customHeight="false" outlineLevel="0" collapsed="false">
      <c r="A128" s="1" t="s">
        <v>402</v>
      </c>
      <c r="B128" s="24" t="s">
        <v>403</v>
      </c>
    </row>
    <row r="129" customFormat="false" ht="15.75" hidden="false" customHeight="false" outlineLevel="0" collapsed="false">
      <c r="A129" s="1" t="s">
        <v>404</v>
      </c>
      <c r="B129" s="24" t="s">
        <v>405</v>
      </c>
    </row>
    <row r="130" customFormat="false" ht="15.75" hidden="false" customHeight="false" outlineLevel="0" collapsed="false">
      <c r="A130" s="1" t="s">
        <v>406</v>
      </c>
      <c r="B130" s="24" t="s">
        <v>407</v>
      </c>
    </row>
    <row r="131" customFormat="false" ht="15.75" hidden="false" customHeight="false" outlineLevel="0" collapsed="false">
      <c r="A131" s="1" t="s">
        <v>408</v>
      </c>
      <c r="B131" s="24" t="s">
        <v>409</v>
      </c>
    </row>
    <row r="132" customFormat="false" ht="15.75" hidden="false" customHeight="false" outlineLevel="0" collapsed="false">
      <c r="A132" s="1" t="s">
        <v>410</v>
      </c>
      <c r="B132" s="24" t="s">
        <v>411</v>
      </c>
    </row>
    <row r="133" customFormat="false" ht="15.75" hidden="false" customHeight="false" outlineLevel="0" collapsed="false">
      <c r="A133" s="1" t="s">
        <v>412</v>
      </c>
      <c r="B133" s="24" t="s">
        <v>413</v>
      </c>
    </row>
    <row r="134" customFormat="false" ht="15.75" hidden="false" customHeight="false" outlineLevel="0" collapsed="false">
      <c r="A134" s="1" t="s">
        <v>414</v>
      </c>
      <c r="B134" s="24" t="s">
        <v>415</v>
      </c>
    </row>
    <row r="135" customFormat="false" ht="15.75" hidden="false" customHeight="false" outlineLevel="0" collapsed="false">
      <c r="A135" s="1" t="s">
        <v>416</v>
      </c>
      <c r="B135" s="24" t="s">
        <v>417</v>
      </c>
    </row>
    <row r="136" customFormat="false" ht="15.75" hidden="false" customHeight="false" outlineLevel="0" collapsed="false">
      <c r="A136" s="1" t="s">
        <v>418</v>
      </c>
      <c r="B136" s="24" t="s">
        <v>419</v>
      </c>
    </row>
    <row r="137" customFormat="false" ht="15.75" hidden="false" customHeight="false" outlineLevel="0" collapsed="false">
      <c r="A137" s="1" t="s">
        <v>420</v>
      </c>
      <c r="B137" s="24" t="s">
        <v>421</v>
      </c>
    </row>
    <row r="138" customFormat="false" ht="15.75" hidden="false" customHeight="false" outlineLevel="0" collapsed="false">
      <c r="A138" s="1" t="s">
        <v>422</v>
      </c>
      <c r="B138" s="24" t="s">
        <v>423</v>
      </c>
    </row>
    <row r="139" customFormat="false" ht="15.75" hidden="false" customHeight="false" outlineLevel="0" collapsed="false">
      <c r="A139" s="1" t="s">
        <v>424</v>
      </c>
      <c r="B139" s="24" t="s">
        <v>425</v>
      </c>
    </row>
    <row r="140" customFormat="false" ht="15.75" hidden="false" customHeight="false" outlineLevel="0" collapsed="false">
      <c r="A140" s="1" t="s">
        <v>426</v>
      </c>
      <c r="B140" s="24" t="s">
        <v>427</v>
      </c>
    </row>
    <row r="141" customFormat="false" ht="15.75" hidden="false" customHeight="false" outlineLevel="0" collapsed="false">
      <c r="A141" s="1" t="s">
        <v>428</v>
      </c>
      <c r="B141" s="24" t="s">
        <v>429</v>
      </c>
    </row>
    <row r="142" customFormat="false" ht="15.75" hidden="false" customHeight="false" outlineLevel="0" collapsed="false">
      <c r="A142" s="1" t="s">
        <v>430</v>
      </c>
      <c r="B142" s="24" t="s">
        <v>431</v>
      </c>
    </row>
    <row r="143" customFormat="false" ht="15.75" hidden="false" customHeight="false" outlineLevel="0" collapsed="false">
      <c r="A143" s="1" t="s">
        <v>432</v>
      </c>
      <c r="B143" s="24" t="s">
        <v>433</v>
      </c>
    </row>
    <row r="144" customFormat="false" ht="15.75" hidden="false" customHeight="false" outlineLevel="0" collapsed="false">
      <c r="A144" s="1" t="s">
        <v>434</v>
      </c>
      <c r="B144" s="24" t="s">
        <v>435</v>
      </c>
    </row>
    <row r="145" customFormat="false" ht="15.75" hidden="false" customHeight="false" outlineLevel="0" collapsed="false">
      <c r="A145" s="1" t="s">
        <v>436</v>
      </c>
      <c r="B145" s="24" t="s">
        <v>437</v>
      </c>
    </row>
    <row r="146" customFormat="false" ht="15.75" hidden="false" customHeight="false" outlineLevel="0" collapsed="false">
      <c r="A146" s="1" t="s">
        <v>438</v>
      </c>
      <c r="B146" s="24" t="s">
        <v>439</v>
      </c>
    </row>
    <row r="147" customFormat="false" ht="15.75" hidden="false" customHeight="false" outlineLevel="0" collapsed="false">
      <c r="A147" s="1" t="s">
        <v>440</v>
      </c>
      <c r="B147" s="24" t="s">
        <v>441</v>
      </c>
    </row>
    <row r="148" customFormat="false" ht="15.75" hidden="false" customHeight="false" outlineLevel="0" collapsed="false">
      <c r="A148" s="1" t="s">
        <v>442</v>
      </c>
      <c r="B148" s="24" t="s">
        <v>443</v>
      </c>
    </row>
    <row r="149" customFormat="false" ht="15.75" hidden="false" customHeight="false" outlineLevel="0" collapsed="false">
      <c r="A149" s="1" t="s">
        <v>444</v>
      </c>
      <c r="B149" s="24" t="s">
        <v>445</v>
      </c>
    </row>
    <row r="150" customFormat="false" ht="15.75" hidden="false" customHeight="false" outlineLevel="0" collapsed="false">
      <c r="A150" s="1" t="s">
        <v>446</v>
      </c>
      <c r="B150" s="24" t="s">
        <v>447</v>
      </c>
    </row>
    <row r="151" customFormat="false" ht="15.75" hidden="false" customHeight="false" outlineLevel="0" collapsed="false">
      <c r="A151" s="1" t="s">
        <v>448</v>
      </c>
      <c r="B151" s="24" t="s">
        <v>449</v>
      </c>
    </row>
    <row r="152" customFormat="false" ht="15.75" hidden="false" customHeight="false" outlineLevel="0" collapsed="false">
      <c r="A152" s="1" t="s">
        <v>450</v>
      </c>
      <c r="B152" s="24" t="s">
        <v>451</v>
      </c>
    </row>
    <row r="153" customFormat="false" ht="15.75" hidden="false" customHeight="false" outlineLevel="0" collapsed="false">
      <c r="A153" s="1" t="s">
        <v>452</v>
      </c>
      <c r="B153" s="24" t="s">
        <v>453</v>
      </c>
    </row>
    <row r="154" customFormat="false" ht="15.75" hidden="false" customHeight="false" outlineLevel="0" collapsed="false">
      <c r="A154" s="1" t="s">
        <v>454</v>
      </c>
      <c r="B154" s="24" t="s">
        <v>455</v>
      </c>
    </row>
    <row r="155" customFormat="false" ht="15.75" hidden="false" customHeight="false" outlineLevel="0" collapsed="false">
      <c r="A155" s="1" t="s">
        <v>456</v>
      </c>
      <c r="B155" s="24" t="s">
        <v>457</v>
      </c>
    </row>
    <row r="156" customFormat="false" ht="15.75" hidden="false" customHeight="false" outlineLevel="0" collapsed="false">
      <c r="A156" s="1" t="s">
        <v>458</v>
      </c>
      <c r="B156" s="24" t="s">
        <v>459</v>
      </c>
    </row>
    <row r="157" customFormat="false" ht="15.75" hidden="false" customHeight="false" outlineLevel="0" collapsed="false">
      <c r="A157" s="1" t="s">
        <v>460</v>
      </c>
      <c r="B157" s="24" t="s">
        <v>461</v>
      </c>
    </row>
    <row r="158" customFormat="false" ht="15.75" hidden="false" customHeight="false" outlineLevel="0" collapsed="false">
      <c r="A158" s="1" t="s">
        <v>462</v>
      </c>
      <c r="B158" s="24" t="s">
        <v>463</v>
      </c>
    </row>
    <row r="159" customFormat="false" ht="15.75" hidden="false" customHeight="false" outlineLevel="0" collapsed="false">
      <c r="A159" s="1" t="s">
        <v>464</v>
      </c>
      <c r="B159" s="24" t="s">
        <v>465</v>
      </c>
    </row>
    <row r="160" customFormat="false" ht="15.75" hidden="false" customHeight="false" outlineLevel="0" collapsed="false">
      <c r="A160" s="1" t="s">
        <v>466</v>
      </c>
      <c r="B160" s="24" t="s">
        <v>467</v>
      </c>
    </row>
    <row r="161" customFormat="false" ht="15.75" hidden="false" customHeight="false" outlineLevel="0" collapsed="false">
      <c r="A161" s="1" t="s">
        <v>468</v>
      </c>
      <c r="B161" s="24" t="s">
        <v>469</v>
      </c>
    </row>
    <row r="162" customFormat="false" ht="15.75" hidden="false" customHeight="false" outlineLevel="0" collapsed="false">
      <c r="A162" s="1" t="s">
        <v>470</v>
      </c>
      <c r="B162" s="24" t="s">
        <v>471</v>
      </c>
    </row>
    <row r="163" customFormat="false" ht="15.75" hidden="false" customHeight="false" outlineLevel="0" collapsed="false">
      <c r="A163" s="1" t="s">
        <v>472</v>
      </c>
      <c r="B163" s="24" t="s">
        <v>473</v>
      </c>
    </row>
    <row r="164" customFormat="false" ht="15.75" hidden="false" customHeight="false" outlineLevel="0" collapsed="false">
      <c r="A164" s="1" t="s">
        <v>474</v>
      </c>
      <c r="B164" s="24" t="s">
        <v>475</v>
      </c>
    </row>
    <row r="165" customFormat="false" ht="15.75" hidden="false" customHeight="false" outlineLevel="0" collapsed="false">
      <c r="A165" s="1" t="s">
        <v>476</v>
      </c>
      <c r="B165" s="24" t="s">
        <v>477</v>
      </c>
    </row>
    <row r="166" customFormat="false" ht="15.75" hidden="false" customHeight="false" outlineLevel="0" collapsed="false">
      <c r="A166" s="1" t="s">
        <v>478</v>
      </c>
      <c r="B166" s="24" t="s">
        <v>479</v>
      </c>
    </row>
    <row r="167" customFormat="false" ht="15.75" hidden="false" customHeight="false" outlineLevel="0" collapsed="false">
      <c r="A167" s="1" t="s">
        <v>480</v>
      </c>
      <c r="B167" s="24" t="s">
        <v>481</v>
      </c>
    </row>
    <row r="168" customFormat="false" ht="15.75" hidden="false" customHeight="false" outlineLevel="0" collapsed="false">
      <c r="A168" s="1" t="s">
        <v>482</v>
      </c>
      <c r="B168" s="24" t="s">
        <v>483</v>
      </c>
    </row>
    <row r="169" customFormat="false" ht="15.75" hidden="false" customHeight="false" outlineLevel="0" collapsed="false">
      <c r="A169" s="1" t="s">
        <v>484</v>
      </c>
      <c r="B169" s="24" t="s">
        <v>485</v>
      </c>
    </row>
    <row r="170" customFormat="false" ht="15.75" hidden="false" customHeight="false" outlineLevel="0" collapsed="false">
      <c r="A170" s="1" t="s">
        <v>486</v>
      </c>
      <c r="B170" s="24" t="s">
        <v>487</v>
      </c>
    </row>
    <row r="171" customFormat="false" ht="15.75" hidden="false" customHeight="false" outlineLevel="0" collapsed="false">
      <c r="A171" s="1" t="s">
        <v>488</v>
      </c>
      <c r="B171" s="24" t="s">
        <v>489</v>
      </c>
    </row>
    <row r="172" customFormat="false" ht="15.75" hidden="false" customHeight="false" outlineLevel="0" collapsed="false">
      <c r="A172" s="1" t="s">
        <v>490</v>
      </c>
      <c r="B172" s="24" t="s">
        <v>491</v>
      </c>
    </row>
    <row r="173" customFormat="false" ht="15.75" hidden="false" customHeight="false" outlineLevel="0" collapsed="false">
      <c r="A173" s="1" t="s">
        <v>492</v>
      </c>
      <c r="B173" s="24" t="s">
        <v>493</v>
      </c>
    </row>
    <row r="174" customFormat="false" ht="15.75" hidden="false" customHeight="false" outlineLevel="0" collapsed="false">
      <c r="A174" s="1" t="s">
        <v>494</v>
      </c>
      <c r="B174" s="24" t="s">
        <v>495</v>
      </c>
    </row>
    <row r="175" customFormat="false" ht="15.75" hidden="false" customHeight="false" outlineLevel="0" collapsed="false">
      <c r="A175" s="1" t="s">
        <v>496</v>
      </c>
      <c r="B175" s="24" t="s">
        <v>497</v>
      </c>
    </row>
    <row r="176" customFormat="false" ht="15.75" hidden="false" customHeight="false" outlineLevel="0" collapsed="false">
      <c r="A176" s="1" t="s">
        <v>498</v>
      </c>
      <c r="B176" s="24" t="s">
        <v>499</v>
      </c>
    </row>
    <row r="177" customFormat="false" ht="15.75" hidden="false" customHeight="false" outlineLevel="0" collapsed="false">
      <c r="A177" s="1" t="s">
        <v>500</v>
      </c>
      <c r="B177" s="24" t="s">
        <v>501</v>
      </c>
    </row>
    <row r="178" customFormat="false" ht="15.75" hidden="false" customHeight="false" outlineLevel="0" collapsed="false">
      <c r="A178" s="1" t="s">
        <v>502</v>
      </c>
      <c r="B178" s="24" t="s">
        <v>503</v>
      </c>
    </row>
    <row r="179" customFormat="false" ht="15.75" hidden="false" customHeight="false" outlineLevel="0" collapsed="false">
      <c r="A179" s="1" t="s">
        <v>504</v>
      </c>
      <c r="B179" s="24" t="s">
        <v>505</v>
      </c>
    </row>
    <row r="180" customFormat="false" ht="15.75" hidden="false" customHeight="false" outlineLevel="0" collapsed="false">
      <c r="A180" s="1" t="s">
        <v>506</v>
      </c>
      <c r="B180" s="24" t="s">
        <v>507</v>
      </c>
    </row>
    <row r="181" customFormat="false" ht="15.75" hidden="false" customHeight="false" outlineLevel="0" collapsed="false">
      <c r="A181" s="1" t="s">
        <v>508</v>
      </c>
      <c r="B181" s="24" t="s">
        <v>509</v>
      </c>
    </row>
    <row r="182" customFormat="false" ht="15.75" hidden="false" customHeight="false" outlineLevel="0" collapsed="false">
      <c r="A182" s="1" t="s">
        <v>510</v>
      </c>
      <c r="B182" s="24" t="s">
        <v>511</v>
      </c>
    </row>
    <row r="183" customFormat="false" ht="15.75" hidden="false" customHeight="false" outlineLevel="0" collapsed="false">
      <c r="A183" s="1" t="s">
        <v>512</v>
      </c>
      <c r="B183" s="24" t="s">
        <v>513</v>
      </c>
    </row>
    <row r="184" customFormat="false" ht="15.75" hidden="false" customHeight="false" outlineLevel="0" collapsed="false">
      <c r="A184" s="1" t="s">
        <v>514</v>
      </c>
      <c r="B184" s="24" t="s">
        <v>515</v>
      </c>
    </row>
    <row r="185" customFormat="false" ht="15.75" hidden="false" customHeight="false" outlineLevel="0" collapsed="false">
      <c r="A185" s="1" t="s">
        <v>516</v>
      </c>
      <c r="B185" s="24" t="s">
        <v>517</v>
      </c>
    </row>
    <row r="186" customFormat="false" ht="15.75" hidden="false" customHeight="false" outlineLevel="0" collapsed="false">
      <c r="A186" s="1" t="s">
        <v>518</v>
      </c>
      <c r="B186" s="24" t="s">
        <v>519</v>
      </c>
    </row>
    <row r="187" customFormat="false" ht="15.75" hidden="false" customHeight="false" outlineLevel="0" collapsed="false">
      <c r="A187" s="1" t="s">
        <v>520</v>
      </c>
      <c r="B187" s="24" t="s">
        <v>521</v>
      </c>
    </row>
    <row r="188" customFormat="false" ht="15.75" hidden="false" customHeight="false" outlineLevel="0" collapsed="false">
      <c r="A188" s="1" t="s">
        <v>522</v>
      </c>
      <c r="B188" s="24" t="s">
        <v>523</v>
      </c>
    </row>
    <row r="189" customFormat="false" ht="15.75" hidden="false" customHeight="false" outlineLevel="0" collapsed="false">
      <c r="A189" s="1" t="s">
        <v>524</v>
      </c>
      <c r="B189" s="24" t="s">
        <v>525</v>
      </c>
    </row>
    <row r="190" customFormat="false" ht="15.75" hidden="false" customHeight="false" outlineLevel="0" collapsed="false">
      <c r="A190" s="1" t="s">
        <v>526</v>
      </c>
      <c r="B190" s="24" t="s">
        <v>527</v>
      </c>
    </row>
    <row r="191" customFormat="false" ht="15.75" hidden="false" customHeight="false" outlineLevel="0" collapsed="false">
      <c r="A191" s="1" t="s">
        <v>528</v>
      </c>
      <c r="B191" s="24" t="s">
        <v>529</v>
      </c>
    </row>
    <row r="192" customFormat="false" ht="15.75" hidden="false" customHeight="false" outlineLevel="0" collapsed="false">
      <c r="A192" s="1" t="s">
        <v>530</v>
      </c>
      <c r="B192" s="24" t="s">
        <v>531</v>
      </c>
    </row>
    <row r="193" customFormat="false" ht="15.75" hidden="false" customHeight="false" outlineLevel="0" collapsed="false">
      <c r="A193" s="1" t="s">
        <v>532</v>
      </c>
      <c r="B193" s="24" t="s">
        <v>533</v>
      </c>
    </row>
    <row r="194" customFormat="false" ht="15.75" hidden="false" customHeight="false" outlineLevel="0" collapsed="false">
      <c r="A194" s="1" t="s">
        <v>534</v>
      </c>
      <c r="B194" s="24" t="s">
        <v>535</v>
      </c>
    </row>
    <row r="195" customFormat="false" ht="15.75" hidden="false" customHeight="false" outlineLevel="0" collapsed="false">
      <c r="A195" s="1" t="s">
        <v>536</v>
      </c>
      <c r="B195" s="24" t="s">
        <v>537</v>
      </c>
    </row>
    <row r="196" customFormat="false" ht="15.75" hidden="false" customHeight="false" outlineLevel="0" collapsed="false">
      <c r="A196" s="1" t="s">
        <v>538</v>
      </c>
      <c r="B196" s="24" t="s">
        <v>539</v>
      </c>
    </row>
    <row r="197" customFormat="false" ht="15.75" hidden="false" customHeight="false" outlineLevel="0" collapsed="false">
      <c r="A197" s="1" t="s">
        <v>540</v>
      </c>
      <c r="B197" s="24" t="s">
        <v>541</v>
      </c>
    </row>
    <row r="198" customFormat="false" ht="15.75" hidden="false" customHeight="false" outlineLevel="0" collapsed="false">
      <c r="A198" s="1" t="s">
        <v>542</v>
      </c>
      <c r="B198" s="24" t="s">
        <v>543</v>
      </c>
    </row>
    <row r="199" customFormat="false" ht="15.75" hidden="false" customHeight="false" outlineLevel="0" collapsed="false">
      <c r="A199" s="1" t="s">
        <v>544</v>
      </c>
      <c r="B199" s="24" t="s">
        <v>545</v>
      </c>
    </row>
    <row r="200" customFormat="false" ht="15.75" hidden="false" customHeight="false" outlineLevel="0" collapsed="false">
      <c r="A200" s="1" t="s">
        <v>546</v>
      </c>
      <c r="B200" s="24" t="s">
        <v>547</v>
      </c>
    </row>
    <row r="201" customFormat="false" ht="15.75" hidden="false" customHeight="false" outlineLevel="0" collapsed="false">
      <c r="A201" s="1" t="s">
        <v>548</v>
      </c>
      <c r="B201" s="24" t="s">
        <v>549</v>
      </c>
    </row>
    <row r="202" customFormat="false" ht="15.75" hidden="false" customHeight="false" outlineLevel="0" collapsed="false">
      <c r="A202" s="1" t="s">
        <v>550</v>
      </c>
      <c r="B202" s="24" t="s">
        <v>551</v>
      </c>
    </row>
    <row r="203" customFormat="false" ht="15.75" hidden="false" customHeight="false" outlineLevel="0" collapsed="false">
      <c r="A203" s="1" t="s">
        <v>552</v>
      </c>
      <c r="B203" s="24" t="s">
        <v>553</v>
      </c>
    </row>
    <row r="204" customFormat="false" ht="15.75" hidden="false" customHeight="false" outlineLevel="0" collapsed="false">
      <c r="A204" s="1" t="s">
        <v>554</v>
      </c>
      <c r="B204" s="24" t="s">
        <v>555</v>
      </c>
    </row>
    <row r="205" customFormat="false" ht="15.75" hidden="false" customHeight="false" outlineLevel="0" collapsed="false">
      <c r="A205" s="1" t="s">
        <v>556</v>
      </c>
      <c r="B205" s="24" t="s">
        <v>557</v>
      </c>
    </row>
    <row r="206" customFormat="false" ht="15.75" hidden="false" customHeight="false" outlineLevel="0" collapsed="false">
      <c r="A206" s="1" t="s">
        <v>558</v>
      </c>
      <c r="B206" s="24" t="s">
        <v>559</v>
      </c>
    </row>
    <row r="207" customFormat="false" ht="15.75" hidden="false" customHeight="false" outlineLevel="0" collapsed="false">
      <c r="A207" s="1" t="s">
        <v>560</v>
      </c>
      <c r="B207" s="24" t="s">
        <v>561</v>
      </c>
    </row>
    <row r="208" customFormat="false" ht="15.75" hidden="false" customHeight="false" outlineLevel="0" collapsed="false">
      <c r="A208" s="1" t="s">
        <v>562</v>
      </c>
      <c r="B208" s="24" t="s">
        <v>563</v>
      </c>
    </row>
    <row r="209" customFormat="false" ht="15.75" hidden="false" customHeight="false" outlineLevel="0" collapsed="false">
      <c r="A209" s="1" t="s">
        <v>564</v>
      </c>
      <c r="B209" s="24" t="s">
        <v>565</v>
      </c>
    </row>
    <row r="210" customFormat="false" ht="15.75" hidden="false" customHeight="false" outlineLevel="0" collapsed="false">
      <c r="A210" s="1" t="s">
        <v>566</v>
      </c>
      <c r="B210" s="24" t="s">
        <v>567</v>
      </c>
    </row>
    <row r="211" customFormat="false" ht="15.75" hidden="false" customHeight="false" outlineLevel="0" collapsed="false">
      <c r="A211" s="1" t="s">
        <v>568</v>
      </c>
      <c r="B211" s="24" t="s">
        <v>569</v>
      </c>
    </row>
    <row r="212" customFormat="false" ht="15.75" hidden="false" customHeight="false" outlineLevel="0" collapsed="false">
      <c r="A212" s="1" t="s">
        <v>570</v>
      </c>
      <c r="B212" s="24" t="s">
        <v>571</v>
      </c>
    </row>
    <row r="213" customFormat="false" ht="15.75" hidden="false" customHeight="false" outlineLevel="0" collapsed="false">
      <c r="A213" s="1" t="s">
        <v>572</v>
      </c>
      <c r="B213" s="24" t="s">
        <v>573</v>
      </c>
    </row>
    <row r="214" customFormat="false" ht="15.75" hidden="false" customHeight="false" outlineLevel="0" collapsed="false">
      <c r="A214" s="1" t="s">
        <v>574</v>
      </c>
      <c r="B214" s="24" t="s">
        <v>575</v>
      </c>
    </row>
    <row r="215" customFormat="false" ht="15.75" hidden="false" customHeight="false" outlineLevel="0" collapsed="false">
      <c r="A215" s="1" t="s">
        <v>576</v>
      </c>
      <c r="B215" s="24" t="s">
        <v>577</v>
      </c>
    </row>
    <row r="216" customFormat="false" ht="15.75" hidden="false" customHeight="false" outlineLevel="0" collapsed="false">
      <c r="A216" s="1" t="s">
        <v>578</v>
      </c>
      <c r="B216" s="24" t="s">
        <v>579</v>
      </c>
    </row>
    <row r="217" customFormat="false" ht="15.75" hidden="false" customHeight="false" outlineLevel="0" collapsed="false">
      <c r="A217" s="1" t="s">
        <v>580</v>
      </c>
      <c r="B217" s="24" t="s">
        <v>581</v>
      </c>
    </row>
    <row r="218" customFormat="false" ht="15.75" hidden="false" customHeight="false" outlineLevel="0" collapsed="false">
      <c r="A218" s="1" t="s">
        <v>582</v>
      </c>
      <c r="B218" s="24" t="s">
        <v>583</v>
      </c>
    </row>
    <row r="219" customFormat="false" ht="15.75" hidden="false" customHeight="false" outlineLevel="0" collapsed="false">
      <c r="A219" s="1" t="s">
        <v>584</v>
      </c>
      <c r="B219" s="24" t="s">
        <v>585</v>
      </c>
    </row>
    <row r="220" customFormat="false" ht="15.75" hidden="false" customHeight="false" outlineLevel="0" collapsed="false">
      <c r="A220" s="1" t="s">
        <v>586</v>
      </c>
      <c r="B220" s="24" t="s">
        <v>587</v>
      </c>
    </row>
    <row r="221" customFormat="false" ht="15.75" hidden="false" customHeight="false" outlineLevel="0" collapsed="false">
      <c r="A221" s="1" t="s">
        <v>588</v>
      </c>
      <c r="B221" s="24" t="s">
        <v>589</v>
      </c>
    </row>
    <row r="222" customFormat="false" ht="15.75" hidden="false" customHeight="false" outlineLevel="0" collapsed="false">
      <c r="A222" s="1" t="s">
        <v>590</v>
      </c>
      <c r="B222" s="24" t="s">
        <v>591</v>
      </c>
    </row>
    <row r="223" customFormat="false" ht="15.75" hidden="false" customHeight="false" outlineLevel="0" collapsed="false">
      <c r="A223" s="1" t="s">
        <v>592</v>
      </c>
      <c r="B223" s="24" t="s">
        <v>593</v>
      </c>
    </row>
    <row r="224" customFormat="false" ht="15.75" hidden="false" customHeight="false" outlineLevel="0" collapsed="false">
      <c r="A224" s="1" t="s">
        <v>594</v>
      </c>
      <c r="B224" s="24" t="s">
        <v>595</v>
      </c>
    </row>
    <row r="225" customFormat="false" ht="15.75" hidden="false" customHeight="false" outlineLevel="0" collapsed="false">
      <c r="A225" s="1" t="s">
        <v>596</v>
      </c>
      <c r="B225" s="24" t="s">
        <v>597</v>
      </c>
    </row>
    <row r="226" customFormat="false" ht="15.75" hidden="false" customHeight="false" outlineLevel="0" collapsed="false">
      <c r="A226" s="1" t="s">
        <v>598</v>
      </c>
      <c r="B226" s="24" t="s">
        <v>599</v>
      </c>
    </row>
    <row r="227" customFormat="false" ht="15.75" hidden="false" customHeight="false" outlineLevel="0" collapsed="false">
      <c r="A227" s="1" t="s">
        <v>600</v>
      </c>
      <c r="B227" s="24" t="s">
        <v>601</v>
      </c>
    </row>
    <row r="228" customFormat="false" ht="15.75" hidden="false" customHeight="false" outlineLevel="0" collapsed="false">
      <c r="A228" s="1" t="s">
        <v>602</v>
      </c>
      <c r="B228" s="24" t="s">
        <v>603</v>
      </c>
    </row>
    <row r="229" customFormat="false" ht="15.75" hidden="false" customHeight="false" outlineLevel="0" collapsed="false">
      <c r="A229" s="1" t="s">
        <v>604</v>
      </c>
      <c r="B229" s="24" t="s">
        <v>605</v>
      </c>
    </row>
    <row r="230" customFormat="false" ht="15.75" hidden="false" customHeight="false" outlineLevel="0" collapsed="false">
      <c r="A230" s="1" t="s">
        <v>606</v>
      </c>
      <c r="B230" s="24" t="s">
        <v>607</v>
      </c>
    </row>
    <row r="231" customFormat="false" ht="15.75" hidden="false" customHeight="false" outlineLevel="0" collapsed="false">
      <c r="A231" s="1" t="s">
        <v>608</v>
      </c>
      <c r="B231" s="24" t="s">
        <v>609</v>
      </c>
    </row>
    <row r="232" customFormat="false" ht="15.75" hidden="false" customHeight="false" outlineLevel="0" collapsed="false">
      <c r="A232" s="1" t="s">
        <v>610</v>
      </c>
      <c r="B232" s="24" t="s">
        <v>611</v>
      </c>
    </row>
    <row r="233" customFormat="false" ht="15.75" hidden="false" customHeight="false" outlineLevel="0" collapsed="false">
      <c r="A233" s="1" t="s">
        <v>612</v>
      </c>
      <c r="B233" s="24" t="s">
        <v>613</v>
      </c>
    </row>
    <row r="234" customFormat="false" ht="15.75" hidden="false" customHeight="false" outlineLevel="0" collapsed="false">
      <c r="A234" s="1" t="s">
        <v>614</v>
      </c>
      <c r="B234" s="24" t="s">
        <v>615</v>
      </c>
    </row>
    <row r="235" customFormat="false" ht="15.75" hidden="false" customHeight="false" outlineLevel="0" collapsed="false">
      <c r="A235" s="1" t="s">
        <v>616</v>
      </c>
      <c r="B235" s="24" t="s">
        <v>617</v>
      </c>
    </row>
    <row r="236" customFormat="false" ht="15.75" hidden="false" customHeight="false" outlineLevel="0" collapsed="false">
      <c r="A236" s="1" t="s">
        <v>618</v>
      </c>
      <c r="B236" s="24" t="s">
        <v>619</v>
      </c>
    </row>
    <row r="237" customFormat="false" ht="15.75" hidden="false" customHeight="false" outlineLevel="0" collapsed="false">
      <c r="A237" s="1" t="s">
        <v>620</v>
      </c>
      <c r="B237" s="24" t="s">
        <v>621</v>
      </c>
    </row>
    <row r="238" customFormat="false" ht="15.75" hidden="false" customHeight="false" outlineLevel="0" collapsed="false">
      <c r="A238" s="1" t="s">
        <v>622</v>
      </c>
      <c r="B238" s="24" t="s">
        <v>623</v>
      </c>
    </row>
    <row r="239" customFormat="false" ht="15.75" hidden="false" customHeight="false" outlineLevel="0" collapsed="false">
      <c r="A239" s="1" t="s">
        <v>624</v>
      </c>
      <c r="B239" s="24" t="s">
        <v>625</v>
      </c>
    </row>
    <row r="240" customFormat="false" ht="15.75" hidden="false" customHeight="false" outlineLevel="0" collapsed="false">
      <c r="A240" s="1" t="s">
        <v>626</v>
      </c>
      <c r="B240" s="24" t="s">
        <v>627</v>
      </c>
    </row>
    <row r="241" customFormat="false" ht="15.75" hidden="false" customHeight="false" outlineLevel="0" collapsed="false">
      <c r="A241" s="1" t="s">
        <v>628</v>
      </c>
      <c r="B241" s="24" t="s">
        <v>629</v>
      </c>
    </row>
    <row r="242" customFormat="false" ht="15.75" hidden="false" customHeight="false" outlineLevel="0" collapsed="false">
      <c r="A242" s="1" t="s">
        <v>630</v>
      </c>
      <c r="B242" s="24" t="s">
        <v>631</v>
      </c>
    </row>
    <row r="243" customFormat="false" ht="15.75" hidden="false" customHeight="false" outlineLevel="0" collapsed="false">
      <c r="A243" s="1" t="s">
        <v>632</v>
      </c>
      <c r="B243" s="24" t="s">
        <v>633</v>
      </c>
    </row>
    <row r="244" customFormat="false" ht="15.75" hidden="false" customHeight="false" outlineLevel="0" collapsed="false">
      <c r="A244" s="1" t="s">
        <v>634</v>
      </c>
      <c r="B244" s="24" t="s">
        <v>635</v>
      </c>
    </row>
    <row r="245" customFormat="false" ht="15.75" hidden="false" customHeight="false" outlineLevel="0" collapsed="false">
      <c r="A245" s="1" t="s">
        <v>636</v>
      </c>
      <c r="B245" s="24" t="s">
        <v>637</v>
      </c>
    </row>
    <row r="246" customFormat="false" ht="15.75" hidden="false" customHeight="false" outlineLevel="0" collapsed="false">
      <c r="A246" s="1" t="s">
        <v>638</v>
      </c>
      <c r="B246" s="24" t="s">
        <v>639</v>
      </c>
    </row>
    <row r="247" customFormat="false" ht="15.75" hidden="false" customHeight="false" outlineLevel="0" collapsed="false">
      <c r="A247" s="1" t="s">
        <v>640</v>
      </c>
      <c r="B247" s="24" t="s">
        <v>641</v>
      </c>
    </row>
    <row r="248" customFormat="false" ht="15.75" hidden="false" customHeight="false" outlineLevel="0" collapsed="false">
      <c r="A248" s="1" t="s">
        <v>642</v>
      </c>
      <c r="B248" s="24" t="s">
        <v>643</v>
      </c>
    </row>
    <row r="249" customFormat="false" ht="15.75" hidden="false" customHeight="false" outlineLevel="0" collapsed="false">
      <c r="A249" s="1" t="s">
        <v>644</v>
      </c>
      <c r="B249" s="24" t="s">
        <v>645</v>
      </c>
    </row>
    <row r="250" customFormat="false" ht="15.75" hidden="false" customHeight="false" outlineLevel="0" collapsed="false">
      <c r="A250" s="1" t="s">
        <v>646</v>
      </c>
      <c r="B250" s="24" t="s">
        <v>647</v>
      </c>
    </row>
    <row r="251" customFormat="false" ht="15.75" hidden="false" customHeight="false" outlineLevel="0" collapsed="false">
      <c r="A251" s="1" t="s">
        <v>648</v>
      </c>
      <c r="B251" s="24" t="s">
        <v>649</v>
      </c>
    </row>
    <row r="252" customFormat="false" ht="15.75" hidden="false" customHeight="false" outlineLevel="0" collapsed="false">
      <c r="A252" s="1" t="s">
        <v>650</v>
      </c>
      <c r="B252" s="24" t="s">
        <v>651</v>
      </c>
    </row>
    <row r="253" customFormat="false" ht="15.75" hidden="false" customHeight="false" outlineLevel="0" collapsed="false">
      <c r="A253" s="1" t="s">
        <v>652</v>
      </c>
      <c r="B253" s="24" t="s">
        <v>653</v>
      </c>
    </row>
    <row r="254" customFormat="false" ht="15.75" hidden="false" customHeight="false" outlineLevel="0" collapsed="false">
      <c r="A254" s="1" t="s">
        <v>654</v>
      </c>
      <c r="B254" s="24" t="s">
        <v>655</v>
      </c>
    </row>
    <row r="255" customFormat="false" ht="15.75" hidden="false" customHeight="false" outlineLevel="0" collapsed="false">
      <c r="A255" s="1" t="s">
        <v>656</v>
      </c>
      <c r="B255" s="24" t="s">
        <v>657</v>
      </c>
    </row>
    <row r="256" customFormat="false" ht="15.75" hidden="false" customHeight="false" outlineLevel="0" collapsed="false">
      <c r="A256" s="1" t="s">
        <v>658</v>
      </c>
      <c r="B256" s="24" t="s">
        <v>659</v>
      </c>
    </row>
    <row r="257" customFormat="false" ht="15.75" hidden="false" customHeight="false" outlineLevel="0" collapsed="false">
      <c r="A257" s="1" t="s">
        <v>660</v>
      </c>
      <c r="B257" s="24" t="s">
        <v>661</v>
      </c>
    </row>
    <row r="258" customFormat="false" ht="15.75" hidden="false" customHeight="false" outlineLevel="0" collapsed="false">
      <c r="A258" s="1" t="s">
        <v>662</v>
      </c>
      <c r="B258" s="24" t="s">
        <v>663</v>
      </c>
    </row>
    <row r="259" customFormat="false" ht="15.75" hidden="false" customHeight="false" outlineLevel="0" collapsed="false">
      <c r="A259" s="1" t="s">
        <v>664</v>
      </c>
      <c r="B259" s="24" t="s">
        <v>665</v>
      </c>
    </row>
    <row r="260" customFormat="false" ht="15.75" hidden="false" customHeight="false" outlineLevel="0" collapsed="false">
      <c r="A260" s="1" t="s">
        <v>666</v>
      </c>
      <c r="B260" s="24" t="s">
        <v>667</v>
      </c>
    </row>
    <row r="261" customFormat="false" ht="15.75" hidden="false" customHeight="false" outlineLevel="0" collapsed="false">
      <c r="A261" s="1" t="s">
        <v>668</v>
      </c>
      <c r="B261" s="24" t="s">
        <v>669</v>
      </c>
    </row>
    <row r="262" customFormat="false" ht="15.75" hidden="false" customHeight="false" outlineLevel="0" collapsed="false">
      <c r="A262" s="1" t="s">
        <v>670</v>
      </c>
      <c r="B262" s="24" t="s">
        <v>671</v>
      </c>
    </row>
    <row r="263" customFormat="false" ht="15.75" hidden="false" customHeight="false" outlineLevel="0" collapsed="false">
      <c r="A263" s="1" t="s">
        <v>672</v>
      </c>
      <c r="B263" s="24" t="s">
        <v>673</v>
      </c>
    </row>
    <row r="264" customFormat="false" ht="15.75" hidden="false" customHeight="false" outlineLevel="0" collapsed="false">
      <c r="A264" s="1" t="s">
        <v>674</v>
      </c>
      <c r="B264" s="24" t="s">
        <v>675</v>
      </c>
    </row>
    <row r="265" customFormat="false" ht="15.75" hidden="false" customHeight="false" outlineLevel="0" collapsed="false">
      <c r="A265" s="1" t="s">
        <v>676</v>
      </c>
      <c r="B265" s="24" t="s">
        <v>677</v>
      </c>
    </row>
    <row r="266" customFormat="false" ht="15.75" hidden="false" customHeight="false" outlineLevel="0" collapsed="false">
      <c r="A266" s="1" t="s">
        <v>678</v>
      </c>
      <c r="B266" s="24" t="s">
        <v>679</v>
      </c>
    </row>
    <row r="267" customFormat="false" ht="15.75" hidden="false" customHeight="false" outlineLevel="0" collapsed="false">
      <c r="A267" s="1" t="s">
        <v>680</v>
      </c>
      <c r="B267" s="24" t="s">
        <v>681</v>
      </c>
    </row>
    <row r="268" customFormat="false" ht="15.75" hidden="false" customHeight="false" outlineLevel="0" collapsed="false">
      <c r="A268" s="1" t="s">
        <v>682</v>
      </c>
      <c r="B268" s="24" t="s">
        <v>683</v>
      </c>
    </row>
    <row r="269" customFormat="false" ht="15.75" hidden="false" customHeight="false" outlineLevel="0" collapsed="false">
      <c r="A269" s="1" t="s">
        <v>684</v>
      </c>
      <c r="B269" s="24" t="s">
        <v>685</v>
      </c>
    </row>
    <row r="270" customFormat="false" ht="15.75" hidden="false" customHeight="false" outlineLevel="0" collapsed="false">
      <c r="A270" s="1" t="s">
        <v>686</v>
      </c>
      <c r="B270" s="24" t="s">
        <v>687</v>
      </c>
    </row>
    <row r="271" customFormat="false" ht="15.75" hidden="false" customHeight="false" outlineLevel="0" collapsed="false">
      <c r="A271" s="1" t="s">
        <v>688</v>
      </c>
      <c r="B271" s="24" t="s">
        <v>689</v>
      </c>
    </row>
    <row r="272" customFormat="false" ht="15.75" hidden="false" customHeight="false" outlineLevel="0" collapsed="false">
      <c r="A272" s="1" t="s">
        <v>690</v>
      </c>
      <c r="B272" s="24" t="s">
        <v>691</v>
      </c>
    </row>
    <row r="273" customFormat="false" ht="15.75" hidden="false" customHeight="false" outlineLevel="0" collapsed="false">
      <c r="A273" s="1" t="s">
        <v>692</v>
      </c>
      <c r="B273" s="24" t="s">
        <v>693</v>
      </c>
    </row>
    <row r="274" customFormat="false" ht="15.75" hidden="false" customHeight="false" outlineLevel="0" collapsed="false">
      <c r="A274" s="1" t="s">
        <v>694</v>
      </c>
      <c r="B274" s="24" t="s">
        <v>695</v>
      </c>
    </row>
    <row r="275" customFormat="false" ht="15.75" hidden="false" customHeight="false" outlineLevel="0" collapsed="false">
      <c r="A275" s="1" t="s">
        <v>696</v>
      </c>
      <c r="B275" s="24" t="s">
        <v>697</v>
      </c>
    </row>
    <row r="276" customFormat="false" ht="15.75" hidden="false" customHeight="false" outlineLevel="0" collapsed="false">
      <c r="A276" s="1" t="s">
        <v>698</v>
      </c>
      <c r="B276" s="24" t="s">
        <v>699</v>
      </c>
    </row>
    <row r="277" customFormat="false" ht="15.75" hidden="false" customHeight="false" outlineLevel="0" collapsed="false">
      <c r="A277" s="1" t="s">
        <v>700</v>
      </c>
      <c r="B277" s="24" t="s">
        <v>701</v>
      </c>
    </row>
    <row r="278" customFormat="false" ht="15.75" hidden="false" customHeight="false" outlineLevel="0" collapsed="false">
      <c r="A278" s="1" t="s">
        <v>702</v>
      </c>
      <c r="B278" s="24" t="s">
        <v>703</v>
      </c>
    </row>
    <row r="279" customFormat="false" ht="15.75" hidden="false" customHeight="false" outlineLevel="0" collapsed="false">
      <c r="A279" s="1" t="s">
        <v>704</v>
      </c>
      <c r="B279" s="24" t="s">
        <v>705</v>
      </c>
    </row>
    <row r="280" customFormat="false" ht="15.75" hidden="false" customHeight="false" outlineLevel="0" collapsed="false">
      <c r="A280" s="1" t="s">
        <v>706</v>
      </c>
      <c r="B280" s="24" t="s">
        <v>707</v>
      </c>
    </row>
    <row r="281" customFormat="false" ht="15.75" hidden="false" customHeight="false" outlineLevel="0" collapsed="false">
      <c r="A281" s="1" t="s">
        <v>708</v>
      </c>
      <c r="B281" s="24" t="s">
        <v>709</v>
      </c>
    </row>
    <row r="282" customFormat="false" ht="15.75" hidden="false" customHeight="false" outlineLevel="0" collapsed="false">
      <c r="A282" s="1" t="s">
        <v>710</v>
      </c>
      <c r="B282" s="24" t="s">
        <v>711</v>
      </c>
    </row>
    <row r="283" customFormat="false" ht="15.75" hidden="false" customHeight="false" outlineLevel="0" collapsed="false">
      <c r="A283" s="1" t="s">
        <v>712</v>
      </c>
      <c r="B283" s="24" t="s">
        <v>713</v>
      </c>
    </row>
    <row r="284" customFormat="false" ht="15.75" hidden="false" customHeight="false" outlineLevel="0" collapsed="false">
      <c r="A284" s="1" t="s">
        <v>714</v>
      </c>
      <c r="B284" s="24" t="s">
        <v>715</v>
      </c>
    </row>
    <row r="285" customFormat="false" ht="15.75" hidden="false" customHeight="false" outlineLevel="0" collapsed="false">
      <c r="A285" s="1" t="s">
        <v>716</v>
      </c>
      <c r="B285" s="24" t="s">
        <v>717</v>
      </c>
    </row>
    <row r="286" customFormat="false" ht="15.75" hidden="false" customHeight="false" outlineLevel="0" collapsed="false">
      <c r="A286" s="1" t="s">
        <v>718</v>
      </c>
      <c r="B286" s="24" t="s">
        <v>719</v>
      </c>
    </row>
    <row r="287" customFormat="false" ht="15.75" hidden="false" customHeight="false" outlineLevel="0" collapsed="false">
      <c r="A287" s="1" t="s">
        <v>720</v>
      </c>
      <c r="B287" s="24" t="s">
        <v>721</v>
      </c>
    </row>
    <row r="288" customFormat="false" ht="15.75" hidden="false" customHeight="false" outlineLevel="0" collapsed="false">
      <c r="A288" s="1" t="s">
        <v>722</v>
      </c>
      <c r="B288" s="24" t="s">
        <v>723</v>
      </c>
    </row>
    <row r="289" customFormat="false" ht="15.75" hidden="false" customHeight="false" outlineLevel="0" collapsed="false">
      <c r="A289" s="1" t="s">
        <v>724</v>
      </c>
      <c r="B289" s="24" t="s">
        <v>725</v>
      </c>
    </row>
    <row r="290" customFormat="false" ht="15.75" hidden="false" customHeight="false" outlineLevel="0" collapsed="false">
      <c r="A290" s="1" t="s">
        <v>726</v>
      </c>
      <c r="B290" s="24" t="s">
        <v>727</v>
      </c>
    </row>
    <row r="291" customFormat="false" ht="15.75" hidden="false" customHeight="false" outlineLevel="0" collapsed="false">
      <c r="A291" s="1" t="s">
        <v>728</v>
      </c>
      <c r="B291" s="24" t="s">
        <v>729</v>
      </c>
    </row>
    <row r="292" customFormat="false" ht="15.75" hidden="false" customHeight="false" outlineLevel="0" collapsed="false">
      <c r="A292" s="1" t="s">
        <v>730</v>
      </c>
      <c r="B292" s="24" t="s">
        <v>731</v>
      </c>
    </row>
    <row r="293" customFormat="false" ht="15.75" hidden="false" customHeight="false" outlineLevel="0" collapsed="false">
      <c r="A293" s="1" t="s">
        <v>732</v>
      </c>
      <c r="B293" s="24" t="s">
        <v>733</v>
      </c>
    </row>
    <row r="294" customFormat="false" ht="15.75" hidden="false" customHeight="false" outlineLevel="0" collapsed="false">
      <c r="A294" s="1" t="s">
        <v>734</v>
      </c>
      <c r="B294" s="24" t="s">
        <v>735</v>
      </c>
    </row>
    <row r="295" customFormat="false" ht="15.75" hidden="false" customHeight="false" outlineLevel="0" collapsed="false">
      <c r="A295" s="1" t="s">
        <v>736</v>
      </c>
      <c r="B295" s="24" t="s">
        <v>737</v>
      </c>
    </row>
    <row r="296" customFormat="false" ht="15.75" hidden="false" customHeight="false" outlineLevel="0" collapsed="false">
      <c r="A296" s="1" t="s">
        <v>738</v>
      </c>
      <c r="B296" s="24" t="s">
        <v>739</v>
      </c>
    </row>
    <row r="297" customFormat="false" ht="15.75" hidden="false" customHeight="false" outlineLevel="0" collapsed="false">
      <c r="A297" s="1" t="s">
        <v>740</v>
      </c>
      <c r="B297" s="24" t="s">
        <v>741</v>
      </c>
    </row>
    <row r="298" customFormat="false" ht="15.75" hidden="false" customHeight="false" outlineLevel="0" collapsed="false">
      <c r="A298" s="1" t="s">
        <v>742</v>
      </c>
      <c r="B298" s="24" t="s">
        <v>743</v>
      </c>
    </row>
    <row r="299" customFormat="false" ht="15.75" hidden="false" customHeight="false" outlineLevel="0" collapsed="false">
      <c r="A299" s="1" t="s">
        <v>744</v>
      </c>
      <c r="B299" s="24" t="s">
        <v>745</v>
      </c>
    </row>
    <row r="300" customFormat="false" ht="15.75" hidden="false" customHeight="false" outlineLevel="0" collapsed="false">
      <c r="A300" s="1" t="s">
        <v>746</v>
      </c>
      <c r="B300" s="24" t="s">
        <v>747</v>
      </c>
    </row>
    <row r="301" customFormat="false" ht="15.75" hidden="false" customHeight="false" outlineLevel="0" collapsed="false">
      <c r="A301" s="1" t="s">
        <v>748</v>
      </c>
      <c r="B301" s="24" t="s">
        <v>749</v>
      </c>
    </row>
    <row r="302" customFormat="false" ht="15.75" hidden="false" customHeight="false" outlineLevel="0" collapsed="false">
      <c r="A302" s="1" t="s">
        <v>750</v>
      </c>
      <c r="B302" s="24" t="s">
        <v>751</v>
      </c>
    </row>
    <row r="303" customFormat="false" ht="15.75" hidden="false" customHeight="false" outlineLevel="0" collapsed="false">
      <c r="A303" s="1" t="s">
        <v>752</v>
      </c>
      <c r="B303" s="24" t="s">
        <v>753</v>
      </c>
    </row>
    <row r="304" customFormat="false" ht="15.75" hidden="false" customHeight="false" outlineLevel="0" collapsed="false">
      <c r="A304" s="1" t="s">
        <v>754</v>
      </c>
      <c r="B304" s="24" t="s">
        <v>755</v>
      </c>
    </row>
    <row r="305" customFormat="false" ht="15.75" hidden="false" customHeight="false" outlineLevel="0" collapsed="false">
      <c r="A305" s="1" t="s">
        <v>756</v>
      </c>
      <c r="B305" s="24" t="s">
        <v>757</v>
      </c>
    </row>
    <row r="306" customFormat="false" ht="15.75" hidden="false" customHeight="false" outlineLevel="0" collapsed="false">
      <c r="A306" s="1" t="s">
        <v>758</v>
      </c>
      <c r="B306" s="24" t="s">
        <v>759</v>
      </c>
    </row>
    <row r="307" customFormat="false" ht="15.75" hidden="false" customHeight="false" outlineLevel="0" collapsed="false">
      <c r="A307" s="1" t="s">
        <v>760</v>
      </c>
      <c r="B307" s="24" t="s">
        <v>761</v>
      </c>
    </row>
    <row r="308" customFormat="false" ht="15.75" hidden="false" customHeight="false" outlineLevel="0" collapsed="false">
      <c r="A308" s="1" t="s">
        <v>762</v>
      </c>
      <c r="B308" s="24" t="s">
        <v>763</v>
      </c>
    </row>
    <row r="309" customFormat="false" ht="15.75" hidden="false" customHeight="false" outlineLevel="0" collapsed="false">
      <c r="A309" s="1" t="s">
        <v>764</v>
      </c>
      <c r="B309" s="24" t="s">
        <v>765</v>
      </c>
    </row>
    <row r="310" customFormat="false" ht="15.75" hidden="false" customHeight="false" outlineLevel="0" collapsed="false">
      <c r="A310" s="1" t="s">
        <v>766</v>
      </c>
      <c r="B310" s="24" t="s">
        <v>767</v>
      </c>
    </row>
    <row r="311" customFormat="false" ht="15.75" hidden="false" customHeight="false" outlineLevel="0" collapsed="false">
      <c r="A311" s="1" t="s">
        <v>768</v>
      </c>
      <c r="B311" s="24" t="s">
        <v>769</v>
      </c>
    </row>
    <row r="312" customFormat="false" ht="15.75" hidden="false" customHeight="false" outlineLevel="0" collapsed="false">
      <c r="A312" s="1" t="s">
        <v>770</v>
      </c>
      <c r="B312" s="24" t="s">
        <v>771</v>
      </c>
    </row>
    <row r="313" customFormat="false" ht="15.75" hidden="false" customHeight="false" outlineLevel="0" collapsed="false">
      <c r="A313" s="1" t="s">
        <v>772</v>
      </c>
      <c r="B313" s="24" t="s">
        <v>773</v>
      </c>
    </row>
    <row r="314" customFormat="false" ht="15.75" hidden="false" customHeight="false" outlineLevel="0" collapsed="false">
      <c r="A314" s="1" t="s">
        <v>774</v>
      </c>
      <c r="B314" s="24" t="s">
        <v>775</v>
      </c>
    </row>
    <row r="315" customFormat="false" ht="15.75" hidden="false" customHeight="false" outlineLevel="0" collapsed="false">
      <c r="A315" s="1" t="s">
        <v>776</v>
      </c>
      <c r="B315" s="24" t="s">
        <v>777</v>
      </c>
    </row>
    <row r="316" customFormat="false" ht="15.75" hidden="false" customHeight="false" outlineLevel="0" collapsed="false">
      <c r="A316" s="1" t="s">
        <v>778</v>
      </c>
      <c r="B316" s="24" t="s">
        <v>779</v>
      </c>
    </row>
    <row r="317" customFormat="false" ht="15.75" hidden="false" customHeight="false" outlineLevel="0" collapsed="false">
      <c r="A317" s="1" t="s">
        <v>780</v>
      </c>
      <c r="B317" s="24" t="s">
        <v>781</v>
      </c>
    </row>
    <row r="318" customFormat="false" ht="15.75" hidden="false" customHeight="false" outlineLevel="0" collapsed="false">
      <c r="A318" s="1" t="s">
        <v>782</v>
      </c>
      <c r="B318" s="24" t="s">
        <v>783</v>
      </c>
    </row>
    <row r="319" customFormat="false" ht="15.75" hidden="false" customHeight="false" outlineLevel="0" collapsed="false">
      <c r="A319" s="1" t="s">
        <v>784</v>
      </c>
      <c r="B319" s="24" t="s">
        <v>785</v>
      </c>
    </row>
    <row r="320" customFormat="false" ht="15.75" hidden="false" customHeight="false" outlineLevel="0" collapsed="false">
      <c r="A320" s="1" t="s">
        <v>786</v>
      </c>
      <c r="B320" s="24" t="s">
        <v>787</v>
      </c>
    </row>
    <row r="321" customFormat="false" ht="15.75" hidden="false" customHeight="false" outlineLevel="0" collapsed="false">
      <c r="A321" s="1" t="s">
        <v>788</v>
      </c>
      <c r="B321" s="24" t="s">
        <v>789</v>
      </c>
    </row>
    <row r="322" customFormat="false" ht="15.75" hidden="false" customHeight="false" outlineLevel="0" collapsed="false">
      <c r="A322" s="1" t="s">
        <v>790</v>
      </c>
      <c r="B322" s="24" t="s">
        <v>791</v>
      </c>
    </row>
    <row r="323" customFormat="false" ht="15.75" hidden="false" customHeight="false" outlineLevel="0" collapsed="false">
      <c r="A323" s="1" t="s">
        <v>792</v>
      </c>
      <c r="B323" s="24" t="s">
        <v>793</v>
      </c>
    </row>
    <row r="324" customFormat="false" ht="15.75" hidden="false" customHeight="false" outlineLevel="0" collapsed="false">
      <c r="A324" s="1" t="s">
        <v>794</v>
      </c>
      <c r="B324" s="24" t="s">
        <v>795</v>
      </c>
    </row>
    <row r="325" customFormat="false" ht="15.75" hidden="false" customHeight="false" outlineLevel="0" collapsed="false">
      <c r="A325" s="1" t="s">
        <v>796</v>
      </c>
      <c r="B325" s="24" t="s">
        <v>797</v>
      </c>
    </row>
    <row r="326" customFormat="false" ht="15.75" hidden="false" customHeight="false" outlineLevel="0" collapsed="false">
      <c r="A326" s="1" t="s">
        <v>798</v>
      </c>
      <c r="B326" s="24" t="s">
        <v>799</v>
      </c>
    </row>
    <row r="327" customFormat="false" ht="15.75" hidden="false" customHeight="false" outlineLevel="0" collapsed="false">
      <c r="A327" s="1" t="s">
        <v>800</v>
      </c>
      <c r="B327" s="24" t="s">
        <v>801</v>
      </c>
    </row>
    <row r="328" customFormat="false" ht="15.75" hidden="false" customHeight="false" outlineLevel="0" collapsed="false">
      <c r="A328" s="1" t="s">
        <v>802</v>
      </c>
      <c r="B328" s="24" t="s">
        <v>803</v>
      </c>
    </row>
    <row r="329" customFormat="false" ht="15.75" hidden="false" customHeight="false" outlineLevel="0" collapsed="false">
      <c r="A329" s="1" t="s">
        <v>804</v>
      </c>
      <c r="B329" s="24" t="s">
        <v>805</v>
      </c>
    </row>
    <row r="330" customFormat="false" ht="15.75" hidden="false" customHeight="false" outlineLevel="0" collapsed="false">
      <c r="A330" s="1" t="s">
        <v>806</v>
      </c>
      <c r="B330" s="24" t="s">
        <v>807</v>
      </c>
    </row>
    <row r="331" customFormat="false" ht="15.75" hidden="false" customHeight="false" outlineLevel="0" collapsed="false">
      <c r="A331" s="1" t="s">
        <v>808</v>
      </c>
      <c r="B331" s="24" t="s">
        <v>809</v>
      </c>
    </row>
    <row r="332" customFormat="false" ht="15.75" hidden="false" customHeight="false" outlineLevel="0" collapsed="false">
      <c r="A332" s="1" t="s">
        <v>810</v>
      </c>
      <c r="B332" s="24" t="s">
        <v>811</v>
      </c>
    </row>
    <row r="333" customFormat="false" ht="15.75" hidden="false" customHeight="false" outlineLevel="0" collapsed="false">
      <c r="A333" s="1" t="s">
        <v>812</v>
      </c>
      <c r="B333" s="24" t="s">
        <v>813</v>
      </c>
    </row>
    <row r="334" customFormat="false" ht="15.75" hidden="false" customHeight="false" outlineLevel="0" collapsed="false">
      <c r="A334" s="1" t="s">
        <v>814</v>
      </c>
      <c r="B334" s="24" t="s">
        <v>815</v>
      </c>
    </row>
    <row r="335" customFormat="false" ht="15.75" hidden="false" customHeight="false" outlineLevel="0" collapsed="false">
      <c r="A335" s="1" t="s">
        <v>816</v>
      </c>
      <c r="B335" s="24" t="s">
        <v>817</v>
      </c>
    </row>
    <row r="336" customFormat="false" ht="15.75" hidden="false" customHeight="false" outlineLevel="0" collapsed="false">
      <c r="A336" s="1" t="s">
        <v>818</v>
      </c>
      <c r="B336" s="24" t="s">
        <v>819</v>
      </c>
    </row>
    <row r="337" customFormat="false" ht="15.75" hidden="false" customHeight="false" outlineLevel="0" collapsed="false">
      <c r="A337" s="1" t="s">
        <v>820</v>
      </c>
      <c r="B337" s="24" t="s">
        <v>821</v>
      </c>
    </row>
    <row r="338" customFormat="false" ht="15.75" hidden="false" customHeight="false" outlineLevel="0" collapsed="false">
      <c r="A338" s="1" t="s">
        <v>822</v>
      </c>
      <c r="B338" s="24" t="s">
        <v>823</v>
      </c>
    </row>
    <row r="339" customFormat="false" ht="15.75" hidden="false" customHeight="false" outlineLevel="0" collapsed="false">
      <c r="A339" s="1" t="s">
        <v>824</v>
      </c>
      <c r="B339" s="24" t="s">
        <v>825</v>
      </c>
    </row>
    <row r="340" customFormat="false" ht="15.75" hidden="false" customHeight="false" outlineLevel="0" collapsed="false">
      <c r="A340" s="1" t="s">
        <v>826</v>
      </c>
      <c r="B340" s="24" t="s">
        <v>827</v>
      </c>
    </row>
    <row r="341" customFormat="false" ht="15.75" hidden="false" customHeight="false" outlineLevel="0" collapsed="false">
      <c r="A341" s="1" t="s">
        <v>828</v>
      </c>
      <c r="B341" s="24" t="s">
        <v>829</v>
      </c>
    </row>
    <row r="342" customFormat="false" ht="15.75" hidden="false" customHeight="false" outlineLevel="0" collapsed="false">
      <c r="A342" s="1" t="s">
        <v>830</v>
      </c>
      <c r="B342" s="24" t="s">
        <v>831</v>
      </c>
    </row>
    <row r="343" customFormat="false" ht="15.75" hidden="false" customHeight="false" outlineLevel="0" collapsed="false">
      <c r="A343" s="1" t="s">
        <v>832</v>
      </c>
      <c r="B343" s="24" t="s">
        <v>833</v>
      </c>
    </row>
    <row r="344" customFormat="false" ht="15.75" hidden="false" customHeight="false" outlineLevel="0" collapsed="false">
      <c r="A344" s="1" t="s">
        <v>834</v>
      </c>
      <c r="B344" s="24" t="s">
        <v>835</v>
      </c>
    </row>
    <row r="345" customFormat="false" ht="15.75" hidden="false" customHeight="false" outlineLevel="0" collapsed="false">
      <c r="A345" s="1" t="s">
        <v>836</v>
      </c>
      <c r="B345" s="24" t="s">
        <v>837</v>
      </c>
    </row>
    <row r="346" customFormat="false" ht="15.75" hidden="false" customHeight="false" outlineLevel="0" collapsed="false">
      <c r="A346" s="1" t="s">
        <v>838</v>
      </c>
      <c r="B346" s="24" t="s">
        <v>839</v>
      </c>
    </row>
    <row r="347" customFormat="false" ht="15.75" hidden="false" customHeight="false" outlineLevel="0" collapsed="false">
      <c r="A347" s="1" t="s">
        <v>840</v>
      </c>
      <c r="B347" s="24" t="s">
        <v>841</v>
      </c>
    </row>
    <row r="348" customFormat="false" ht="15.75" hidden="false" customHeight="false" outlineLevel="0" collapsed="false">
      <c r="A348" s="1" t="s">
        <v>842</v>
      </c>
      <c r="B348" s="24" t="s">
        <v>843</v>
      </c>
    </row>
    <row r="349" customFormat="false" ht="15.75" hidden="false" customHeight="false" outlineLevel="0" collapsed="false">
      <c r="A349" s="1" t="s">
        <v>844</v>
      </c>
      <c r="B349" s="24" t="s">
        <v>845</v>
      </c>
    </row>
    <row r="350" customFormat="false" ht="15.75" hidden="false" customHeight="false" outlineLevel="0" collapsed="false">
      <c r="A350" s="1" t="s">
        <v>846</v>
      </c>
      <c r="B350" s="24" t="s">
        <v>847</v>
      </c>
    </row>
    <row r="351" customFormat="false" ht="15.75" hidden="false" customHeight="false" outlineLevel="0" collapsed="false">
      <c r="A351" s="1" t="s">
        <v>848</v>
      </c>
      <c r="B351" s="24" t="s">
        <v>849</v>
      </c>
    </row>
    <row r="352" customFormat="false" ht="15.75" hidden="false" customHeight="false" outlineLevel="0" collapsed="false">
      <c r="A352" s="1" t="s">
        <v>850</v>
      </c>
      <c r="B352" s="24" t="s">
        <v>851</v>
      </c>
    </row>
    <row r="353" customFormat="false" ht="15.75" hidden="false" customHeight="false" outlineLevel="0" collapsed="false">
      <c r="A353" s="1" t="s">
        <v>852</v>
      </c>
      <c r="B353" s="24" t="s">
        <v>853</v>
      </c>
    </row>
    <row r="354" customFormat="false" ht="15.75" hidden="false" customHeight="false" outlineLevel="0" collapsed="false">
      <c r="A354" s="1" t="s">
        <v>854</v>
      </c>
      <c r="B354" s="24" t="s">
        <v>855</v>
      </c>
    </row>
    <row r="355" customFormat="false" ht="15.75" hidden="false" customHeight="false" outlineLevel="0" collapsed="false">
      <c r="A355" s="1" t="s">
        <v>856</v>
      </c>
      <c r="B355" s="24" t="s">
        <v>857</v>
      </c>
    </row>
    <row r="356" customFormat="false" ht="15.75" hidden="false" customHeight="false" outlineLevel="0" collapsed="false">
      <c r="A356" s="1" t="s">
        <v>858</v>
      </c>
      <c r="B356" s="24" t="s">
        <v>859</v>
      </c>
    </row>
    <row r="357" customFormat="false" ht="15.75" hidden="false" customHeight="false" outlineLevel="0" collapsed="false">
      <c r="A357" s="1" t="s">
        <v>860</v>
      </c>
      <c r="B357" s="24" t="s">
        <v>861</v>
      </c>
    </row>
    <row r="358" customFormat="false" ht="15.75" hidden="false" customHeight="false" outlineLevel="0" collapsed="false">
      <c r="A358" s="1" t="s">
        <v>862</v>
      </c>
      <c r="B358" s="24" t="s">
        <v>863</v>
      </c>
    </row>
    <row r="359" customFormat="false" ht="15.75" hidden="false" customHeight="false" outlineLevel="0" collapsed="false">
      <c r="A359" s="1" t="s">
        <v>864</v>
      </c>
      <c r="B359" s="24" t="s">
        <v>865</v>
      </c>
    </row>
    <row r="360" customFormat="false" ht="15.75" hidden="false" customHeight="false" outlineLevel="0" collapsed="false">
      <c r="A360" s="1" t="s">
        <v>866</v>
      </c>
      <c r="B360" s="24" t="s">
        <v>867</v>
      </c>
    </row>
    <row r="361" customFormat="false" ht="15.75" hidden="false" customHeight="false" outlineLevel="0" collapsed="false">
      <c r="A361" s="1" t="s">
        <v>868</v>
      </c>
      <c r="B361" s="24" t="s">
        <v>869</v>
      </c>
    </row>
    <row r="362" customFormat="false" ht="15.75" hidden="false" customHeight="false" outlineLevel="0" collapsed="false">
      <c r="A362" s="1" t="s">
        <v>870</v>
      </c>
      <c r="B362" s="24" t="s">
        <v>871</v>
      </c>
    </row>
    <row r="363" customFormat="false" ht="15.75" hidden="false" customHeight="false" outlineLevel="0" collapsed="false">
      <c r="A363" s="1" t="s">
        <v>872</v>
      </c>
      <c r="B363" s="24" t="s">
        <v>873</v>
      </c>
    </row>
    <row r="364" customFormat="false" ht="15.75" hidden="false" customHeight="false" outlineLevel="0" collapsed="false">
      <c r="A364" s="1" t="s">
        <v>874</v>
      </c>
      <c r="B364" s="24" t="s">
        <v>875</v>
      </c>
    </row>
    <row r="365" customFormat="false" ht="15.75" hidden="false" customHeight="false" outlineLevel="0" collapsed="false">
      <c r="A365" s="1" t="s">
        <v>876</v>
      </c>
      <c r="B365" s="24" t="s">
        <v>877</v>
      </c>
    </row>
    <row r="366" customFormat="false" ht="15.75" hidden="false" customHeight="false" outlineLevel="0" collapsed="false">
      <c r="A366" s="1" t="s">
        <v>878</v>
      </c>
      <c r="B366" s="24" t="s">
        <v>879</v>
      </c>
    </row>
    <row r="367" customFormat="false" ht="15.75" hidden="false" customHeight="false" outlineLevel="0" collapsed="false">
      <c r="A367" s="1" t="s">
        <v>880</v>
      </c>
      <c r="B367" s="24" t="s">
        <v>881</v>
      </c>
    </row>
    <row r="368" customFormat="false" ht="15.75" hidden="false" customHeight="false" outlineLevel="0" collapsed="false">
      <c r="A368" s="1" t="s">
        <v>882</v>
      </c>
      <c r="B368" s="24" t="s">
        <v>883</v>
      </c>
    </row>
    <row r="369" customFormat="false" ht="15.75" hidden="false" customHeight="false" outlineLevel="0" collapsed="false">
      <c r="A369" s="1" t="s">
        <v>884</v>
      </c>
      <c r="B369" s="24" t="s">
        <v>885</v>
      </c>
    </row>
    <row r="370" customFormat="false" ht="15.75" hidden="false" customHeight="false" outlineLevel="0" collapsed="false">
      <c r="A370" s="1" t="s">
        <v>886</v>
      </c>
      <c r="B370" s="24" t="s">
        <v>887</v>
      </c>
    </row>
    <row r="371" customFormat="false" ht="15.75" hidden="false" customHeight="false" outlineLevel="0" collapsed="false">
      <c r="A371" s="1" t="s">
        <v>888</v>
      </c>
      <c r="B371" s="24" t="s">
        <v>889</v>
      </c>
    </row>
    <row r="372" customFormat="false" ht="15.75" hidden="false" customHeight="false" outlineLevel="0" collapsed="false">
      <c r="A372" s="1" t="s">
        <v>890</v>
      </c>
      <c r="B372" s="24" t="s">
        <v>891</v>
      </c>
    </row>
    <row r="373" customFormat="false" ht="15.75" hidden="false" customHeight="false" outlineLevel="0" collapsed="false">
      <c r="A373" s="1" t="s">
        <v>892</v>
      </c>
      <c r="B373" s="24" t="s">
        <v>893</v>
      </c>
    </row>
    <row r="374" customFormat="false" ht="15.75" hidden="false" customHeight="false" outlineLevel="0" collapsed="false">
      <c r="A374" s="1" t="s">
        <v>894</v>
      </c>
      <c r="B374" s="24" t="s">
        <v>895</v>
      </c>
    </row>
    <row r="375" customFormat="false" ht="15.75" hidden="false" customHeight="false" outlineLevel="0" collapsed="false">
      <c r="A375" s="1" t="s">
        <v>896</v>
      </c>
      <c r="B375" s="24" t="s">
        <v>897</v>
      </c>
    </row>
    <row r="376" customFormat="false" ht="15.75" hidden="false" customHeight="false" outlineLevel="0" collapsed="false">
      <c r="A376" s="1" t="s">
        <v>898</v>
      </c>
      <c r="B376" s="24" t="s">
        <v>899</v>
      </c>
    </row>
    <row r="377" customFormat="false" ht="15.75" hidden="false" customHeight="false" outlineLevel="0" collapsed="false">
      <c r="A377" s="1" t="s">
        <v>900</v>
      </c>
      <c r="B377" s="24" t="s">
        <v>901</v>
      </c>
    </row>
    <row r="378" customFormat="false" ht="15.75" hidden="false" customHeight="false" outlineLevel="0" collapsed="false">
      <c r="A378" s="1" t="s">
        <v>902</v>
      </c>
      <c r="B378" s="24" t="s">
        <v>903</v>
      </c>
    </row>
    <row r="379" customFormat="false" ht="15.75" hidden="false" customHeight="false" outlineLevel="0" collapsed="false">
      <c r="A379" s="1" t="s">
        <v>904</v>
      </c>
      <c r="B379" s="24" t="s">
        <v>905</v>
      </c>
    </row>
    <row r="380" customFormat="false" ht="15.75" hidden="false" customHeight="false" outlineLevel="0" collapsed="false">
      <c r="A380" s="1" t="s">
        <v>906</v>
      </c>
      <c r="B380" s="24" t="s">
        <v>907</v>
      </c>
    </row>
    <row r="381" customFormat="false" ht="15.75" hidden="false" customHeight="false" outlineLevel="0" collapsed="false">
      <c r="A381" s="1" t="s">
        <v>908</v>
      </c>
      <c r="B381" s="24" t="s">
        <v>909</v>
      </c>
    </row>
    <row r="382" customFormat="false" ht="15.75" hidden="false" customHeight="false" outlineLevel="0" collapsed="false">
      <c r="A382" s="1" t="s">
        <v>910</v>
      </c>
      <c r="B382" s="24" t="s">
        <v>911</v>
      </c>
    </row>
    <row r="383" customFormat="false" ht="15.75" hidden="false" customHeight="false" outlineLevel="0" collapsed="false">
      <c r="A383" s="1" t="s">
        <v>912</v>
      </c>
      <c r="B383" s="24" t="s">
        <v>913</v>
      </c>
    </row>
    <row r="384" customFormat="false" ht="15.75" hidden="false" customHeight="false" outlineLevel="0" collapsed="false">
      <c r="A384" s="1" t="s">
        <v>914</v>
      </c>
      <c r="B384" s="24" t="s">
        <v>915</v>
      </c>
    </row>
    <row r="385" customFormat="false" ht="15.75" hidden="false" customHeight="false" outlineLevel="0" collapsed="false">
      <c r="A385" s="1" t="s">
        <v>916</v>
      </c>
      <c r="B385" s="24" t="s">
        <v>917</v>
      </c>
    </row>
    <row r="386" customFormat="false" ht="15.75" hidden="false" customHeight="false" outlineLevel="0" collapsed="false">
      <c r="A386" s="1" t="s">
        <v>918</v>
      </c>
      <c r="B386" s="24" t="s">
        <v>919</v>
      </c>
    </row>
    <row r="387" customFormat="false" ht="15.75" hidden="false" customHeight="false" outlineLevel="0" collapsed="false">
      <c r="A387" s="1" t="s">
        <v>920</v>
      </c>
      <c r="B387" s="24" t="s">
        <v>921</v>
      </c>
    </row>
    <row r="388" customFormat="false" ht="15.75" hidden="false" customHeight="false" outlineLevel="0" collapsed="false">
      <c r="A388" s="1" t="s">
        <v>922</v>
      </c>
      <c r="B388" s="24" t="s">
        <v>923</v>
      </c>
    </row>
    <row r="389" customFormat="false" ht="15.75" hidden="false" customHeight="false" outlineLevel="0" collapsed="false">
      <c r="A389" s="1" t="s">
        <v>924</v>
      </c>
      <c r="B389" s="24" t="s">
        <v>925</v>
      </c>
    </row>
    <row r="390" customFormat="false" ht="15.75" hidden="false" customHeight="false" outlineLevel="0" collapsed="false">
      <c r="A390" s="1" t="s">
        <v>926</v>
      </c>
      <c r="B390" s="24" t="s">
        <v>927</v>
      </c>
    </row>
    <row r="391" customFormat="false" ht="15.75" hidden="false" customHeight="false" outlineLevel="0" collapsed="false">
      <c r="A391" s="1" t="s">
        <v>928</v>
      </c>
      <c r="B391" s="24" t="s">
        <v>929</v>
      </c>
    </row>
    <row r="392" customFormat="false" ht="15.75" hidden="false" customHeight="false" outlineLevel="0" collapsed="false">
      <c r="A392" s="1" t="s">
        <v>930</v>
      </c>
      <c r="B392" s="24" t="s">
        <v>931</v>
      </c>
    </row>
    <row r="393" customFormat="false" ht="15.75" hidden="false" customHeight="false" outlineLevel="0" collapsed="false">
      <c r="A393" s="1" t="s">
        <v>932</v>
      </c>
      <c r="B393" s="24" t="s">
        <v>933</v>
      </c>
    </row>
    <row r="394" customFormat="false" ht="15.75" hidden="false" customHeight="false" outlineLevel="0" collapsed="false">
      <c r="A394" s="1" t="s">
        <v>934</v>
      </c>
      <c r="B394" s="24" t="s">
        <v>935</v>
      </c>
    </row>
    <row r="395" customFormat="false" ht="15.75" hidden="false" customHeight="false" outlineLevel="0" collapsed="false">
      <c r="A395" s="1" t="s">
        <v>936</v>
      </c>
      <c r="B395" s="24" t="s">
        <v>937</v>
      </c>
    </row>
    <row r="396" customFormat="false" ht="15.75" hidden="false" customHeight="false" outlineLevel="0" collapsed="false">
      <c r="A396" s="1" t="s">
        <v>938</v>
      </c>
      <c r="B396" s="24" t="s">
        <v>939</v>
      </c>
    </row>
    <row r="397" customFormat="false" ht="15.75" hidden="false" customHeight="false" outlineLevel="0" collapsed="false">
      <c r="A397" s="1" t="s">
        <v>940</v>
      </c>
      <c r="B397" s="24" t="s">
        <v>941</v>
      </c>
    </row>
    <row r="398" customFormat="false" ht="15.75" hidden="false" customHeight="false" outlineLevel="0" collapsed="false">
      <c r="A398" s="1" t="s">
        <v>942</v>
      </c>
      <c r="B398" s="24" t="s">
        <v>943</v>
      </c>
    </row>
    <row r="399" customFormat="false" ht="15.75" hidden="false" customHeight="false" outlineLevel="0" collapsed="false">
      <c r="A399" s="1" t="s">
        <v>944</v>
      </c>
      <c r="B399" s="24" t="s">
        <v>945</v>
      </c>
    </row>
    <row r="400" customFormat="false" ht="15.75" hidden="false" customHeight="false" outlineLevel="0" collapsed="false">
      <c r="A400" s="1" t="s">
        <v>946</v>
      </c>
      <c r="B400" s="24" t="s">
        <v>947</v>
      </c>
    </row>
    <row r="401" customFormat="false" ht="15.75" hidden="false" customHeight="false" outlineLevel="0" collapsed="false">
      <c r="A401" s="1" t="s">
        <v>948</v>
      </c>
      <c r="B401" s="24" t="s">
        <v>949</v>
      </c>
    </row>
    <row r="402" customFormat="false" ht="15.75" hidden="false" customHeight="false" outlineLevel="0" collapsed="false">
      <c r="A402" s="1" t="s">
        <v>950</v>
      </c>
      <c r="B402" s="24" t="s">
        <v>951</v>
      </c>
    </row>
    <row r="403" customFormat="false" ht="15.75" hidden="false" customHeight="false" outlineLevel="0" collapsed="false">
      <c r="A403" s="1" t="s">
        <v>952</v>
      </c>
      <c r="B403" s="24" t="s">
        <v>953</v>
      </c>
    </row>
    <row r="404" customFormat="false" ht="15.75" hidden="false" customHeight="false" outlineLevel="0" collapsed="false">
      <c r="A404" s="1" t="s">
        <v>954</v>
      </c>
      <c r="B404" s="24" t="s">
        <v>955</v>
      </c>
    </row>
    <row r="405" customFormat="false" ht="15.75" hidden="false" customHeight="false" outlineLevel="0" collapsed="false">
      <c r="A405" s="1" t="s">
        <v>956</v>
      </c>
      <c r="B405" s="24" t="s">
        <v>957</v>
      </c>
    </row>
    <row r="406" customFormat="false" ht="15.75" hidden="false" customHeight="false" outlineLevel="0" collapsed="false">
      <c r="A406" s="1" t="s">
        <v>958</v>
      </c>
      <c r="B406" s="24" t="s">
        <v>959</v>
      </c>
    </row>
    <row r="407" customFormat="false" ht="15.75" hidden="false" customHeight="false" outlineLevel="0" collapsed="false">
      <c r="A407" s="1" t="s">
        <v>960</v>
      </c>
      <c r="B407" s="24" t="s">
        <v>961</v>
      </c>
    </row>
    <row r="408" customFormat="false" ht="15.75" hidden="false" customHeight="false" outlineLevel="0" collapsed="false">
      <c r="A408" s="1" t="s">
        <v>962</v>
      </c>
      <c r="B408" s="24" t="s">
        <v>963</v>
      </c>
    </row>
    <row r="409" customFormat="false" ht="15.75" hidden="false" customHeight="false" outlineLevel="0" collapsed="false">
      <c r="A409" s="1" t="s">
        <v>964</v>
      </c>
      <c r="B409" s="24" t="s">
        <v>965</v>
      </c>
    </row>
    <row r="410" customFormat="false" ht="15.75" hidden="false" customHeight="false" outlineLevel="0" collapsed="false">
      <c r="A410" s="1" t="s">
        <v>966</v>
      </c>
      <c r="B410" s="24" t="s">
        <v>967</v>
      </c>
    </row>
    <row r="411" customFormat="false" ht="15.75" hidden="false" customHeight="false" outlineLevel="0" collapsed="false">
      <c r="A411" s="1" t="s">
        <v>968</v>
      </c>
      <c r="B411" s="24" t="s">
        <v>969</v>
      </c>
    </row>
    <row r="412" customFormat="false" ht="15.75" hidden="false" customHeight="false" outlineLevel="0" collapsed="false">
      <c r="A412" s="1" t="s">
        <v>970</v>
      </c>
      <c r="B412" s="24" t="s">
        <v>971</v>
      </c>
    </row>
    <row r="413" customFormat="false" ht="15.75" hidden="false" customHeight="false" outlineLevel="0" collapsed="false">
      <c r="A413" s="1" t="s">
        <v>972</v>
      </c>
      <c r="B413" s="24" t="s">
        <v>973</v>
      </c>
    </row>
    <row r="414" customFormat="false" ht="15.75" hidden="false" customHeight="false" outlineLevel="0" collapsed="false">
      <c r="A414" s="1" t="s">
        <v>974</v>
      </c>
      <c r="B414" s="24" t="s">
        <v>975</v>
      </c>
    </row>
    <row r="415" customFormat="false" ht="15.75" hidden="false" customHeight="false" outlineLevel="0" collapsed="false">
      <c r="A415" s="1" t="s">
        <v>976</v>
      </c>
      <c r="B415" s="24" t="s">
        <v>977</v>
      </c>
    </row>
    <row r="416" customFormat="false" ht="15.75" hidden="false" customHeight="false" outlineLevel="0" collapsed="false">
      <c r="A416" s="1" t="s">
        <v>978</v>
      </c>
      <c r="B416" s="24" t="s">
        <v>979</v>
      </c>
    </row>
    <row r="417" customFormat="false" ht="15.75" hidden="false" customHeight="false" outlineLevel="0" collapsed="false">
      <c r="A417" s="1" t="s">
        <v>980</v>
      </c>
      <c r="B417" s="24" t="s">
        <v>981</v>
      </c>
    </row>
    <row r="418" customFormat="false" ht="15.75" hidden="false" customHeight="false" outlineLevel="0" collapsed="false">
      <c r="A418" s="1" t="s">
        <v>982</v>
      </c>
      <c r="B418" s="24" t="s">
        <v>983</v>
      </c>
    </row>
    <row r="419" customFormat="false" ht="15.75" hidden="false" customHeight="false" outlineLevel="0" collapsed="false">
      <c r="A419" s="1" t="s">
        <v>984</v>
      </c>
      <c r="B419" s="24" t="s">
        <v>985</v>
      </c>
    </row>
    <row r="420" customFormat="false" ht="15.75" hidden="false" customHeight="false" outlineLevel="0" collapsed="false">
      <c r="A420" s="1" t="s">
        <v>986</v>
      </c>
      <c r="B420" s="24" t="s">
        <v>987</v>
      </c>
    </row>
    <row r="421" customFormat="false" ht="15.75" hidden="false" customHeight="false" outlineLevel="0" collapsed="false">
      <c r="A421" s="1" t="s">
        <v>988</v>
      </c>
      <c r="B421" s="24" t="s">
        <v>989</v>
      </c>
    </row>
    <row r="422" customFormat="false" ht="15.75" hidden="false" customHeight="false" outlineLevel="0" collapsed="false">
      <c r="A422" s="1" t="s">
        <v>990</v>
      </c>
      <c r="B422" s="24" t="s">
        <v>991</v>
      </c>
    </row>
    <row r="423" customFormat="false" ht="15.75" hidden="false" customHeight="false" outlineLevel="0" collapsed="false">
      <c r="A423" s="1" t="s">
        <v>992</v>
      </c>
      <c r="B423" s="24" t="s">
        <v>993</v>
      </c>
    </row>
    <row r="424" customFormat="false" ht="15.75" hidden="false" customHeight="false" outlineLevel="0" collapsed="false">
      <c r="A424" s="1" t="s">
        <v>994</v>
      </c>
      <c r="B424" s="24" t="s">
        <v>995</v>
      </c>
    </row>
    <row r="425" customFormat="false" ht="15.75" hidden="false" customHeight="false" outlineLevel="0" collapsed="false">
      <c r="A425" s="1" t="s">
        <v>996</v>
      </c>
      <c r="B425" s="24" t="s">
        <v>997</v>
      </c>
    </row>
    <row r="426" customFormat="false" ht="15.75" hidden="false" customHeight="false" outlineLevel="0" collapsed="false">
      <c r="A426" s="1" t="s">
        <v>998</v>
      </c>
      <c r="B426" s="24" t="s">
        <v>999</v>
      </c>
    </row>
    <row r="427" customFormat="false" ht="15.75" hidden="false" customHeight="false" outlineLevel="0" collapsed="false">
      <c r="A427" s="1" t="s">
        <v>1000</v>
      </c>
      <c r="B427" s="24" t="s">
        <v>1001</v>
      </c>
    </row>
    <row r="428" customFormat="false" ht="15.75" hidden="false" customHeight="false" outlineLevel="0" collapsed="false">
      <c r="A428" s="1" t="s">
        <v>1002</v>
      </c>
      <c r="B428" s="24" t="s">
        <v>1003</v>
      </c>
    </row>
    <row r="429" customFormat="false" ht="15.75" hidden="false" customHeight="false" outlineLevel="0" collapsed="false">
      <c r="A429" s="1" t="s">
        <v>1004</v>
      </c>
      <c r="B429" s="24" t="s">
        <v>1005</v>
      </c>
    </row>
    <row r="430" customFormat="false" ht="15.75" hidden="false" customHeight="false" outlineLevel="0" collapsed="false">
      <c r="A430" s="1" t="s">
        <v>1006</v>
      </c>
      <c r="B430" s="24" t="s">
        <v>1007</v>
      </c>
    </row>
    <row r="431" customFormat="false" ht="15.75" hidden="false" customHeight="false" outlineLevel="0" collapsed="false">
      <c r="A431" s="1" t="s">
        <v>1008</v>
      </c>
      <c r="B431" s="24" t="s">
        <v>1009</v>
      </c>
    </row>
    <row r="432" customFormat="false" ht="15.75" hidden="false" customHeight="false" outlineLevel="0" collapsed="false">
      <c r="A432" s="1" t="s">
        <v>1010</v>
      </c>
      <c r="B432" s="24" t="s">
        <v>1011</v>
      </c>
    </row>
    <row r="433" customFormat="false" ht="15.75" hidden="false" customHeight="false" outlineLevel="0" collapsed="false">
      <c r="A433" s="1" t="s">
        <v>1012</v>
      </c>
      <c r="B433" s="24" t="s">
        <v>1013</v>
      </c>
    </row>
    <row r="434" customFormat="false" ht="15.75" hidden="false" customHeight="false" outlineLevel="0" collapsed="false">
      <c r="A434" s="1" t="s">
        <v>1014</v>
      </c>
      <c r="B434" s="24" t="s">
        <v>1015</v>
      </c>
    </row>
    <row r="435" customFormat="false" ht="15.75" hidden="false" customHeight="false" outlineLevel="0" collapsed="false">
      <c r="A435" s="1" t="s">
        <v>1016</v>
      </c>
      <c r="B435" s="24" t="s">
        <v>1017</v>
      </c>
    </row>
    <row r="436" customFormat="false" ht="15.75" hidden="false" customHeight="false" outlineLevel="0" collapsed="false">
      <c r="A436" s="1" t="s">
        <v>1018</v>
      </c>
      <c r="B436" s="24" t="s">
        <v>1019</v>
      </c>
    </row>
    <row r="437" customFormat="false" ht="15.75" hidden="false" customHeight="false" outlineLevel="0" collapsed="false">
      <c r="A437" s="1" t="s">
        <v>1020</v>
      </c>
      <c r="B437" s="24" t="s">
        <v>1021</v>
      </c>
    </row>
    <row r="438" customFormat="false" ht="15.75" hidden="false" customHeight="false" outlineLevel="0" collapsed="false">
      <c r="A438" s="1" t="s">
        <v>1022</v>
      </c>
      <c r="B438" s="24" t="s">
        <v>1023</v>
      </c>
    </row>
    <row r="439" customFormat="false" ht="15.75" hidden="false" customHeight="false" outlineLevel="0" collapsed="false">
      <c r="A439" s="1" t="s">
        <v>1024</v>
      </c>
      <c r="B439" s="24" t="s">
        <v>1025</v>
      </c>
    </row>
    <row r="440" customFormat="false" ht="15.75" hidden="false" customHeight="false" outlineLevel="0" collapsed="false">
      <c r="A440" s="1" t="s">
        <v>1026</v>
      </c>
      <c r="B440" s="24" t="s">
        <v>1027</v>
      </c>
    </row>
    <row r="441" customFormat="false" ht="15.75" hidden="false" customHeight="false" outlineLevel="0" collapsed="false">
      <c r="A441" s="1" t="s">
        <v>1028</v>
      </c>
      <c r="B441" s="24" t="s">
        <v>1029</v>
      </c>
    </row>
    <row r="442" customFormat="false" ht="15.75" hidden="false" customHeight="false" outlineLevel="0" collapsed="false">
      <c r="A442" s="1" t="s">
        <v>1030</v>
      </c>
      <c r="B442" s="24" t="s">
        <v>1031</v>
      </c>
    </row>
    <row r="443" customFormat="false" ht="15.75" hidden="false" customHeight="false" outlineLevel="0" collapsed="false">
      <c r="A443" s="1" t="s">
        <v>1032</v>
      </c>
      <c r="B443" s="24" t="s">
        <v>1033</v>
      </c>
    </row>
    <row r="444" customFormat="false" ht="15.75" hidden="false" customHeight="false" outlineLevel="0" collapsed="false">
      <c r="A444" s="1" t="s">
        <v>1034</v>
      </c>
      <c r="B444" s="24" t="s">
        <v>1035</v>
      </c>
    </row>
    <row r="445" customFormat="false" ht="15.75" hidden="false" customHeight="false" outlineLevel="0" collapsed="false">
      <c r="A445" s="1" t="s">
        <v>1036</v>
      </c>
      <c r="B445" s="24" t="s">
        <v>1037</v>
      </c>
    </row>
    <row r="446" customFormat="false" ht="15.75" hidden="false" customHeight="false" outlineLevel="0" collapsed="false">
      <c r="A446" s="1" t="s">
        <v>1038</v>
      </c>
      <c r="B446" s="24" t="s">
        <v>1039</v>
      </c>
    </row>
    <row r="447" customFormat="false" ht="15.75" hidden="false" customHeight="false" outlineLevel="0" collapsed="false">
      <c r="A447" s="1" t="s">
        <v>1040</v>
      </c>
      <c r="B447" s="24" t="s">
        <v>1041</v>
      </c>
    </row>
    <row r="448" customFormat="false" ht="15.75" hidden="false" customHeight="false" outlineLevel="0" collapsed="false">
      <c r="A448" s="1" t="s">
        <v>1042</v>
      </c>
      <c r="B448" s="24" t="s">
        <v>1043</v>
      </c>
    </row>
    <row r="449" customFormat="false" ht="15.75" hidden="false" customHeight="false" outlineLevel="0" collapsed="false">
      <c r="A449" s="1" t="s">
        <v>1044</v>
      </c>
      <c r="B449" s="24" t="s">
        <v>1045</v>
      </c>
    </row>
    <row r="450" customFormat="false" ht="15.75" hidden="false" customHeight="false" outlineLevel="0" collapsed="false">
      <c r="A450" s="1" t="s">
        <v>1046</v>
      </c>
      <c r="B450" s="24" t="s">
        <v>1047</v>
      </c>
    </row>
    <row r="451" customFormat="false" ht="15.75" hidden="false" customHeight="false" outlineLevel="0" collapsed="false">
      <c r="A451" s="1" t="s">
        <v>1048</v>
      </c>
      <c r="B451" s="24" t="s">
        <v>1049</v>
      </c>
    </row>
    <row r="452" customFormat="false" ht="15.75" hidden="false" customHeight="false" outlineLevel="0" collapsed="false">
      <c r="A452" s="1" t="s">
        <v>1050</v>
      </c>
      <c r="B452" s="24" t="s">
        <v>1051</v>
      </c>
    </row>
    <row r="453" customFormat="false" ht="15.75" hidden="false" customHeight="false" outlineLevel="0" collapsed="false">
      <c r="A453" s="1" t="s">
        <v>1052</v>
      </c>
      <c r="B453" s="24" t="s">
        <v>1053</v>
      </c>
    </row>
    <row r="454" customFormat="false" ht="15.75" hidden="false" customHeight="false" outlineLevel="0" collapsed="false">
      <c r="A454" s="1" t="s">
        <v>1054</v>
      </c>
      <c r="B454" s="24" t="s">
        <v>1055</v>
      </c>
    </row>
    <row r="455" customFormat="false" ht="15.75" hidden="false" customHeight="false" outlineLevel="0" collapsed="false">
      <c r="A455" s="1" t="s">
        <v>1056</v>
      </c>
      <c r="B455" s="24" t="s">
        <v>1057</v>
      </c>
    </row>
    <row r="456" customFormat="false" ht="15.75" hidden="false" customHeight="false" outlineLevel="0" collapsed="false">
      <c r="A456" s="1" t="s">
        <v>1058</v>
      </c>
      <c r="B456" s="24" t="s">
        <v>1059</v>
      </c>
    </row>
    <row r="457" customFormat="false" ht="15.75" hidden="false" customHeight="false" outlineLevel="0" collapsed="false">
      <c r="A457" s="1" t="s">
        <v>1060</v>
      </c>
      <c r="B457" s="24" t="s">
        <v>1061</v>
      </c>
    </row>
    <row r="458" customFormat="false" ht="15.75" hidden="false" customHeight="false" outlineLevel="0" collapsed="false">
      <c r="A458" s="1" t="s">
        <v>1062</v>
      </c>
      <c r="B458" s="24" t="s">
        <v>1063</v>
      </c>
    </row>
    <row r="459" customFormat="false" ht="15.75" hidden="false" customHeight="false" outlineLevel="0" collapsed="false">
      <c r="A459" s="1" t="s">
        <v>1064</v>
      </c>
      <c r="B459" s="24" t="s">
        <v>1065</v>
      </c>
    </row>
    <row r="460" customFormat="false" ht="15.75" hidden="false" customHeight="false" outlineLevel="0" collapsed="false">
      <c r="A460" s="1" t="s">
        <v>1066</v>
      </c>
      <c r="B460" s="24" t="s">
        <v>1067</v>
      </c>
    </row>
    <row r="461" customFormat="false" ht="15.75" hidden="false" customHeight="false" outlineLevel="0" collapsed="false">
      <c r="A461" s="1" t="s">
        <v>1068</v>
      </c>
      <c r="B461" s="24" t="s">
        <v>1069</v>
      </c>
    </row>
    <row r="462" customFormat="false" ht="15.75" hidden="false" customHeight="false" outlineLevel="0" collapsed="false">
      <c r="A462" s="1" t="s">
        <v>1070</v>
      </c>
      <c r="B462" s="24" t="s">
        <v>1071</v>
      </c>
    </row>
    <row r="463" customFormat="false" ht="15.75" hidden="false" customHeight="false" outlineLevel="0" collapsed="false">
      <c r="A463" s="1" t="s">
        <v>1072</v>
      </c>
      <c r="B463" s="24" t="s">
        <v>1073</v>
      </c>
    </row>
    <row r="464" customFormat="false" ht="15.75" hidden="false" customHeight="false" outlineLevel="0" collapsed="false">
      <c r="A464" s="1" t="s">
        <v>1074</v>
      </c>
      <c r="B464" s="24" t="s">
        <v>1075</v>
      </c>
    </row>
    <row r="465" customFormat="false" ht="15.75" hidden="false" customHeight="false" outlineLevel="0" collapsed="false">
      <c r="A465" s="1" t="s">
        <v>1076</v>
      </c>
      <c r="B465" s="24" t="s">
        <v>1077</v>
      </c>
    </row>
    <row r="466" customFormat="false" ht="15.75" hidden="false" customHeight="false" outlineLevel="0" collapsed="false">
      <c r="A466" s="1" t="s">
        <v>1078</v>
      </c>
      <c r="B466" s="24" t="s">
        <v>1079</v>
      </c>
    </row>
    <row r="467" customFormat="false" ht="15.75" hidden="false" customHeight="false" outlineLevel="0" collapsed="false">
      <c r="A467" s="1" t="s">
        <v>1080</v>
      </c>
      <c r="B467" s="24" t="s">
        <v>1081</v>
      </c>
    </row>
    <row r="468" customFormat="false" ht="15.75" hidden="false" customHeight="false" outlineLevel="0" collapsed="false">
      <c r="A468" s="1" t="s">
        <v>1082</v>
      </c>
      <c r="B468" s="24" t="s">
        <v>1083</v>
      </c>
    </row>
    <row r="469" customFormat="false" ht="15.75" hidden="false" customHeight="false" outlineLevel="0" collapsed="false">
      <c r="A469" s="1" t="s">
        <v>1084</v>
      </c>
      <c r="B469" s="24" t="s">
        <v>1085</v>
      </c>
    </row>
    <row r="470" customFormat="false" ht="15.75" hidden="false" customHeight="false" outlineLevel="0" collapsed="false">
      <c r="A470" s="1" t="s">
        <v>1086</v>
      </c>
      <c r="B470" s="24" t="s">
        <v>1087</v>
      </c>
    </row>
    <row r="471" customFormat="false" ht="15.75" hidden="false" customHeight="false" outlineLevel="0" collapsed="false">
      <c r="A471" s="1" t="s">
        <v>1088</v>
      </c>
      <c r="B471" s="24" t="s">
        <v>1089</v>
      </c>
    </row>
    <row r="472" customFormat="false" ht="15.75" hidden="false" customHeight="false" outlineLevel="0" collapsed="false">
      <c r="A472" s="1" t="s">
        <v>1090</v>
      </c>
      <c r="B472" s="24" t="s">
        <v>1091</v>
      </c>
    </row>
    <row r="473" customFormat="false" ht="15.75" hidden="false" customHeight="false" outlineLevel="0" collapsed="false">
      <c r="A473" s="1" t="s">
        <v>1092</v>
      </c>
      <c r="B473" s="24" t="s">
        <v>1093</v>
      </c>
    </row>
    <row r="474" customFormat="false" ht="15.75" hidden="false" customHeight="false" outlineLevel="0" collapsed="false">
      <c r="A474" s="1" t="s">
        <v>1094</v>
      </c>
      <c r="B474" s="24" t="s">
        <v>1095</v>
      </c>
    </row>
    <row r="475" customFormat="false" ht="15.75" hidden="false" customHeight="false" outlineLevel="0" collapsed="false">
      <c r="A475" s="1" t="s">
        <v>1096</v>
      </c>
      <c r="B475" s="24" t="s">
        <v>1097</v>
      </c>
    </row>
    <row r="476" customFormat="false" ht="15.75" hidden="false" customHeight="false" outlineLevel="0" collapsed="false">
      <c r="A476" s="1" t="s">
        <v>1098</v>
      </c>
      <c r="B476" s="24" t="s">
        <v>1099</v>
      </c>
    </row>
    <row r="477" customFormat="false" ht="15.75" hidden="false" customHeight="false" outlineLevel="0" collapsed="false">
      <c r="A477" s="1" t="s">
        <v>1100</v>
      </c>
      <c r="B477" s="24" t="s">
        <v>1101</v>
      </c>
    </row>
    <row r="478" customFormat="false" ht="15.75" hidden="false" customHeight="false" outlineLevel="0" collapsed="false">
      <c r="A478" s="1" t="s">
        <v>1102</v>
      </c>
      <c r="B478" s="24" t="s">
        <v>1103</v>
      </c>
    </row>
    <row r="479" customFormat="false" ht="15.75" hidden="false" customHeight="false" outlineLevel="0" collapsed="false">
      <c r="A479" s="1" t="s">
        <v>1104</v>
      </c>
      <c r="B479" s="24" t="s">
        <v>1105</v>
      </c>
    </row>
    <row r="480" customFormat="false" ht="15.75" hidden="false" customHeight="false" outlineLevel="0" collapsed="false">
      <c r="A480" s="1" t="s">
        <v>1106</v>
      </c>
      <c r="B480" s="24" t="s">
        <v>1107</v>
      </c>
    </row>
    <row r="481" customFormat="false" ht="15.75" hidden="false" customHeight="false" outlineLevel="0" collapsed="false">
      <c r="A481" s="1" t="s">
        <v>1108</v>
      </c>
      <c r="B481" s="24" t="s">
        <v>1109</v>
      </c>
    </row>
    <row r="482" customFormat="false" ht="15.75" hidden="false" customHeight="false" outlineLevel="0" collapsed="false">
      <c r="A482" s="1" t="s">
        <v>1110</v>
      </c>
      <c r="B482" s="24" t="s">
        <v>1111</v>
      </c>
    </row>
    <row r="483" customFormat="false" ht="15.75" hidden="false" customHeight="false" outlineLevel="0" collapsed="false">
      <c r="A483" s="1" t="s">
        <v>1112</v>
      </c>
      <c r="B483" s="24" t="s">
        <v>1113</v>
      </c>
    </row>
    <row r="484" customFormat="false" ht="15.75" hidden="false" customHeight="false" outlineLevel="0" collapsed="false">
      <c r="A484" s="1" t="s">
        <v>1114</v>
      </c>
      <c r="B484" s="24" t="s">
        <v>1115</v>
      </c>
    </row>
    <row r="485" customFormat="false" ht="15.75" hidden="false" customHeight="false" outlineLevel="0" collapsed="false">
      <c r="A485" s="1" t="s">
        <v>1116</v>
      </c>
      <c r="B485" s="24" t="s">
        <v>1117</v>
      </c>
    </row>
    <row r="486" customFormat="false" ht="15.75" hidden="false" customHeight="false" outlineLevel="0" collapsed="false">
      <c r="A486" s="1" t="s">
        <v>1118</v>
      </c>
      <c r="B486" s="24" t="s">
        <v>1119</v>
      </c>
    </row>
    <row r="487" customFormat="false" ht="15.75" hidden="false" customHeight="false" outlineLevel="0" collapsed="false">
      <c r="A487" s="1" t="s">
        <v>1120</v>
      </c>
      <c r="B487" s="24" t="s">
        <v>1121</v>
      </c>
    </row>
    <row r="488" customFormat="false" ht="15.75" hidden="false" customHeight="false" outlineLevel="0" collapsed="false">
      <c r="A488" s="1" t="s">
        <v>1122</v>
      </c>
      <c r="B488" s="24" t="s">
        <v>1123</v>
      </c>
    </row>
    <row r="489" customFormat="false" ht="15.75" hidden="false" customHeight="false" outlineLevel="0" collapsed="false">
      <c r="A489" s="1" t="s">
        <v>1124</v>
      </c>
      <c r="B489" s="24" t="s">
        <v>1125</v>
      </c>
    </row>
    <row r="490" customFormat="false" ht="15.75" hidden="false" customHeight="false" outlineLevel="0" collapsed="false">
      <c r="A490" s="1" t="s">
        <v>1126</v>
      </c>
      <c r="B490" s="24" t="s">
        <v>1127</v>
      </c>
    </row>
    <row r="491" customFormat="false" ht="15.75" hidden="false" customHeight="false" outlineLevel="0" collapsed="false">
      <c r="A491" s="1" t="s">
        <v>1128</v>
      </c>
      <c r="B491" s="24" t="s">
        <v>1129</v>
      </c>
    </row>
    <row r="492" customFormat="false" ht="15.75" hidden="false" customHeight="false" outlineLevel="0" collapsed="false">
      <c r="A492" s="1" t="s">
        <v>1130</v>
      </c>
      <c r="B492" s="24" t="s">
        <v>1131</v>
      </c>
    </row>
    <row r="493" customFormat="false" ht="15.75" hidden="false" customHeight="false" outlineLevel="0" collapsed="false">
      <c r="A493" s="1" t="s">
        <v>1132</v>
      </c>
      <c r="B493" s="24" t="s">
        <v>1133</v>
      </c>
    </row>
    <row r="494" customFormat="false" ht="15.75" hidden="false" customHeight="false" outlineLevel="0" collapsed="false">
      <c r="A494" s="1" t="s">
        <v>1134</v>
      </c>
      <c r="B494" s="24" t="s">
        <v>1135</v>
      </c>
    </row>
    <row r="495" customFormat="false" ht="15.75" hidden="false" customHeight="false" outlineLevel="0" collapsed="false">
      <c r="A495" s="1" t="s">
        <v>1136</v>
      </c>
      <c r="B495" s="24" t="s">
        <v>1137</v>
      </c>
    </row>
    <row r="496" customFormat="false" ht="15.75" hidden="false" customHeight="false" outlineLevel="0" collapsed="false">
      <c r="A496" s="1" t="s">
        <v>1138</v>
      </c>
      <c r="B496" s="24" t="s">
        <v>1139</v>
      </c>
    </row>
    <row r="497" customFormat="false" ht="15.75" hidden="false" customHeight="false" outlineLevel="0" collapsed="false">
      <c r="A497" s="1" t="s">
        <v>1140</v>
      </c>
      <c r="B497" s="24" t="s">
        <v>1141</v>
      </c>
    </row>
    <row r="498" customFormat="false" ht="15.75" hidden="false" customHeight="false" outlineLevel="0" collapsed="false">
      <c r="A498" s="1" t="s">
        <v>1142</v>
      </c>
      <c r="B498" s="24" t="s">
        <v>1143</v>
      </c>
    </row>
    <row r="499" customFormat="false" ht="15.75" hidden="false" customHeight="false" outlineLevel="0" collapsed="false">
      <c r="A499" s="1" t="s">
        <v>1144</v>
      </c>
      <c r="B499" s="24" t="s">
        <v>1145</v>
      </c>
    </row>
    <row r="500" customFormat="false" ht="15.75" hidden="false" customHeight="false" outlineLevel="0" collapsed="false">
      <c r="A500" s="1" t="s">
        <v>1146</v>
      </c>
      <c r="B500" s="24" t="s">
        <v>1147</v>
      </c>
    </row>
    <row r="501" customFormat="false" ht="15.75" hidden="false" customHeight="false" outlineLevel="0" collapsed="false">
      <c r="A501" s="1" t="s">
        <v>1148</v>
      </c>
      <c r="B501" s="24" t="s">
        <v>1149</v>
      </c>
    </row>
    <row r="502" customFormat="false" ht="15.75" hidden="false" customHeight="false" outlineLevel="0" collapsed="false">
      <c r="A502" s="1" t="s">
        <v>1150</v>
      </c>
      <c r="B502" s="24" t="s">
        <v>1151</v>
      </c>
    </row>
    <row r="503" customFormat="false" ht="15.75" hidden="false" customHeight="false" outlineLevel="0" collapsed="false">
      <c r="A503" s="1" t="s">
        <v>1152</v>
      </c>
      <c r="B503" s="24" t="s">
        <v>1153</v>
      </c>
    </row>
    <row r="504" customFormat="false" ht="15.75" hidden="false" customHeight="false" outlineLevel="0" collapsed="false">
      <c r="A504" s="1" t="s">
        <v>1154</v>
      </c>
      <c r="B504" s="24" t="s">
        <v>1155</v>
      </c>
    </row>
    <row r="505" customFormat="false" ht="15.75" hidden="false" customHeight="false" outlineLevel="0" collapsed="false">
      <c r="A505" s="1" t="s">
        <v>1156</v>
      </c>
      <c r="B505" s="24" t="s">
        <v>1157</v>
      </c>
    </row>
    <row r="506" customFormat="false" ht="15.75" hidden="false" customHeight="false" outlineLevel="0" collapsed="false">
      <c r="A506" s="1" t="s">
        <v>1158</v>
      </c>
      <c r="B506" s="24" t="s">
        <v>1159</v>
      </c>
    </row>
    <row r="507" customFormat="false" ht="15.75" hidden="false" customHeight="false" outlineLevel="0" collapsed="false">
      <c r="A507" s="1" t="s">
        <v>1160</v>
      </c>
      <c r="B507" s="24" t="s">
        <v>1161</v>
      </c>
    </row>
    <row r="508" customFormat="false" ht="15.75" hidden="false" customHeight="false" outlineLevel="0" collapsed="false">
      <c r="A508" s="1" t="s">
        <v>1162</v>
      </c>
      <c r="B508" s="24" t="s">
        <v>1163</v>
      </c>
    </row>
    <row r="509" customFormat="false" ht="15.75" hidden="false" customHeight="false" outlineLevel="0" collapsed="false">
      <c r="A509" s="1" t="s">
        <v>1164</v>
      </c>
      <c r="B509" s="24" t="s">
        <v>1165</v>
      </c>
    </row>
    <row r="510" customFormat="false" ht="15.75" hidden="false" customHeight="false" outlineLevel="0" collapsed="false">
      <c r="A510" s="1" t="s">
        <v>1166</v>
      </c>
      <c r="B510" s="24" t="s">
        <v>1167</v>
      </c>
    </row>
    <row r="511" customFormat="false" ht="15.75" hidden="false" customHeight="false" outlineLevel="0" collapsed="false">
      <c r="A511" s="1" t="s">
        <v>1168</v>
      </c>
      <c r="B511" s="24" t="s">
        <v>1169</v>
      </c>
    </row>
    <row r="512" customFormat="false" ht="15.75" hidden="false" customHeight="false" outlineLevel="0" collapsed="false">
      <c r="A512" s="1" t="s">
        <v>1170</v>
      </c>
      <c r="B512" s="24" t="s">
        <v>1171</v>
      </c>
    </row>
    <row r="513" customFormat="false" ht="15.75" hidden="false" customHeight="false" outlineLevel="0" collapsed="false">
      <c r="A513" s="1" t="s">
        <v>1172</v>
      </c>
      <c r="B513" s="24" t="s">
        <v>1173</v>
      </c>
    </row>
    <row r="514" customFormat="false" ht="15.75" hidden="false" customHeight="false" outlineLevel="0" collapsed="false">
      <c r="A514" s="1" t="s">
        <v>1174</v>
      </c>
      <c r="B514" s="24" t="s">
        <v>1175</v>
      </c>
    </row>
    <row r="515" customFormat="false" ht="15.75" hidden="false" customHeight="false" outlineLevel="0" collapsed="false">
      <c r="A515" s="1" t="s">
        <v>1176</v>
      </c>
      <c r="B515" s="24" t="s">
        <v>1177</v>
      </c>
    </row>
    <row r="516" customFormat="false" ht="15.75" hidden="false" customHeight="false" outlineLevel="0" collapsed="false">
      <c r="A516" s="1" t="s">
        <v>1178</v>
      </c>
      <c r="B516" s="24" t="s">
        <v>1179</v>
      </c>
    </row>
    <row r="517" customFormat="false" ht="15.75" hidden="false" customHeight="false" outlineLevel="0" collapsed="false">
      <c r="A517" s="1" t="s">
        <v>1180</v>
      </c>
      <c r="B517" s="24" t="s">
        <v>1181</v>
      </c>
    </row>
    <row r="518" customFormat="false" ht="15.75" hidden="false" customHeight="false" outlineLevel="0" collapsed="false">
      <c r="A518" s="1" t="s">
        <v>1182</v>
      </c>
      <c r="B518" s="24" t="s">
        <v>1183</v>
      </c>
    </row>
    <row r="519" customFormat="false" ht="15.75" hidden="false" customHeight="false" outlineLevel="0" collapsed="false">
      <c r="A519" s="1" t="s">
        <v>1184</v>
      </c>
      <c r="B519" s="24" t="s">
        <v>1185</v>
      </c>
    </row>
    <row r="520" customFormat="false" ht="15.75" hidden="false" customHeight="false" outlineLevel="0" collapsed="false">
      <c r="A520" s="1" t="s">
        <v>1186</v>
      </c>
      <c r="B520" s="24" t="s">
        <v>1187</v>
      </c>
    </row>
    <row r="521" customFormat="false" ht="15.75" hidden="false" customHeight="false" outlineLevel="0" collapsed="false">
      <c r="A521" s="1" t="s">
        <v>1188</v>
      </c>
      <c r="B521" s="24" t="s">
        <v>1189</v>
      </c>
    </row>
    <row r="522" customFormat="false" ht="15.75" hidden="false" customHeight="false" outlineLevel="0" collapsed="false">
      <c r="A522" s="1" t="s">
        <v>1190</v>
      </c>
      <c r="B522" s="24" t="s">
        <v>1191</v>
      </c>
    </row>
    <row r="523" customFormat="false" ht="15.75" hidden="false" customHeight="false" outlineLevel="0" collapsed="false">
      <c r="A523" s="1" t="s">
        <v>1192</v>
      </c>
      <c r="B523" s="24" t="s">
        <v>1193</v>
      </c>
    </row>
    <row r="524" customFormat="false" ht="15.75" hidden="false" customHeight="false" outlineLevel="0" collapsed="false">
      <c r="A524" s="1" t="s">
        <v>1194</v>
      </c>
      <c r="B524" s="24" t="s">
        <v>1195</v>
      </c>
    </row>
    <row r="525" customFormat="false" ht="15.75" hidden="false" customHeight="false" outlineLevel="0" collapsed="false">
      <c r="A525" s="1" t="s">
        <v>1196</v>
      </c>
      <c r="B525" s="24" t="s">
        <v>1197</v>
      </c>
    </row>
    <row r="526" customFormat="false" ht="15.75" hidden="false" customHeight="false" outlineLevel="0" collapsed="false">
      <c r="A526" s="1" t="s">
        <v>1198</v>
      </c>
      <c r="B526" s="24" t="s">
        <v>1199</v>
      </c>
    </row>
    <row r="527" customFormat="false" ht="15.75" hidden="false" customHeight="false" outlineLevel="0" collapsed="false">
      <c r="A527" s="1" t="s">
        <v>1200</v>
      </c>
      <c r="B527" s="24" t="s">
        <v>1201</v>
      </c>
    </row>
    <row r="528" customFormat="false" ht="15.75" hidden="false" customHeight="false" outlineLevel="0" collapsed="false">
      <c r="A528" s="1" t="s">
        <v>1202</v>
      </c>
      <c r="B528" s="24" t="s">
        <v>1203</v>
      </c>
    </row>
    <row r="529" customFormat="false" ht="15.75" hidden="false" customHeight="false" outlineLevel="0" collapsed="false">
      <c r="A529" s="1" t="s">
        <v>1204</v>
      </c>
      <c r="B529" s="24" t="s">
        <v>1205</v>
      </c>
    </row>
    <row r="530" customFormat="false" ht="15.75" hidden="false" customHeight="false" outlineLevel="0" collapsed="false">
      <c r="A530" s="1" t="s">
        <v>1206</v>
      </c>
      <c r="B530" s="24" t="s">
        <v>1207</v>
      </c>
    </row>
    <row r="531" customFormat="false" ht="15.75" hidden="false" customHeight="false" outlineLevel="0" collapsed="false">
      <c r="A531" s="1" t="s">
        <v>1208</v>
      </c>
      <c r="B531" s="24" t="s">
        <v>1209</v>
      </c>
    </row>
    <row r="532" customFormat="false" ht="15.75" hidden="false" customHeight="false" outlineLevel="0" collapsed="false">
      <c r="A532" s="1" t="s">
        <v>1210</v>
      </c>
      <c r="B532" s="24" t="s">
        <v>1211</v>
      </c>
    </row>
    <row r="533" customFormat="false" ht="15.75" hidden="false" customHeight="false" outlineLevel="0" collapsed="false">
      <c r="A533" s="1" t="s">
        <v>1212</v>
      </c>
      <c r="B533" s="24" t="s">
        <v>1213</v>
      </c>
    </row>
    <row r="534" customFormat="false" ht="15.75" hidden="false" customHeight="false" outlineLevel="0" collapsed="false">
      <c r="A534" s="1" t="s">
        <v>1214</v>
      </c>
      <c r="B534" s="24" t="s">
        <v>1215</v>
      </c>
    </row>
    <row r="535" customFormat="false" ht="15.75" hidden="false" customHeight="false" outlineLevel="0" collapsed="false">
      <c r="A535" s="1" t="s">
        <v>1216</v>
      </c>
      <c r="B535" s="24" t="s">
        <v>1217</v>
      </c>
    </row>
    <row r="536" customFormat="false" ht="15.75" hidden="false" customHeight="false" outlineLevel="0" collapsed="false">
      <c r="A536" s="1" t="s">
        <v>1218</v>
      </c>
      <c r="B536" s="24" t="s">
        <v>1219</v>
      </c>
    </row>
    <row r="537" customFormat="false" ht="15.75" hidden="false" customHeight="false" outlineLevel="0" collapsed="false">
      <c r="A537" s="1" t="s">
        <v>1220</v>
      </c>
      <c r="B537" s="24" t="s">
        <v>1221</v>
      </c>
    </row>
    <row r="538" customFormat="false" ht="15.75" hidden="false" customHeight="false" outlineLevel="0" collapsed="false">
      <c r="A538" s="1" t="s">
        <v>1222</v>
      </c>
      <c r="B538" s="24" t="s">
        <v>1223</v>
      </c>
    </row>
    <row r="539" customFormat="false" ht="15.75" hidden="false" customHeight="false" outlineLevel="0" collapsed="false">
      <c r="A539" s="1" t="s">
        <v>1224</v>
      </c>
      <c r="B539" s="24" t="s">
        <v>1225</v>
      </c>
    </row>
    <row r="540" customFormat="false" ht="15.75" hidden="false" customHeight="false" outlineLevel="0" collapsed="false">
      <c r="A540" s="1" t="s">
        <v>1226</v>
      </c>
      <c r="B540" s="24" t="s">
        <v>1227</v>
      </c>
    </row>
    <row r="541" customFormat="false" ht="15.75" hidden="false" customHeight="false" outlineLevel="0" collapsed="false">
      <c r="A541" s="1" t="s">
        <v>1228</v>
      </c>
      <c r="B541" s="24" t="s">
        <v>1229</v>
      </c>
    </row>
    <row r="542" customFormat="false" ht="15.75" hidden="false" customHeight="false" outlineLevel="0" collapsed="false">
      <c r="A542" s="1" t="s">
        <v>1230</v>
      </c>
      <c r="B542" s="24" t="s">
        <v>1231</v>
      </c>
    </row>
    <row r="543" customFormat="false" ht="15.75" hidden="false" customHeight="false" outlineLevel="0" collapsed="false">
      <c r="A543" s="1" t="s">
        <v>1232</v>
      </c>
      <c r="B543" s="24" t="s">
        <v>1233</v>
      </c>
    </row>
    <row r="544" customFormat="false" ht="15.75" hidden="false" customHeight="false" outlineLevel="0" collapsed="false">
      <c r="A544" s="1" t="s">
        <v>1234</v>
      </c>
      <c r="B544" s="24" t="s">
        <v>1235</v>
      </c>
    </row>
    <row r="545" customFormat="false" ht="15.75" hidden="false" customHeight="false" outlineLevel="0" collapsed="false">
      <c r="A545" s="1" t="s">
        <v>1236</v>
      </c>
      <c r="B545" s="24" t="s">
        <v>1237</v>
      </c>
    </row>
    <row r="546" customFormat="false" ht="15.75" hidden="false" customHeight="false" outlineLevel="0" collapsed="false">
      <c r="A546" s="1" t="s">
        <v>1238</v>
      </c>
      <c r="B546" s="24" t="s">
        <v>1239</v>
      </c>
    </row>
    <row r="547" customFormat="false" ht="15.75" hidden="false" customHeight="false" outlineLevel="0" collapsed="false">
      <c r="A547" s="1" t="s">
        <v>1240</v>
      </c>
      <c r="B547" s="24" t="s">
        <v>1241</v>
      </c>
    </row>
    <row r="548" customFormat="false" ht="15.75" hidden="false" customHeight="false" outlineLevel="0" collapsed="false">
      <c r="A548" s="1" t="s">
        <v>1242</v>
      </c>
      <c r="B548" s="24" t="s">
        <v>1243</v>
      </c>
    </row>
    <row r="549" customFormat="false" ht="15.75" hidden="false" customHeight="false" outlineLevel="0" collapsed="false">
      <c r="A549" s="1" t="s">
        <v>1244</v>
      </c>
      <c r="B549" s="24" t="s">
        <v>1245</v>
      </c>
    </row>
    <row r="550" customFormat="false" ht="15.75" hidden="false" customHeight="false" outlineLevel="0" collapsed="false">
      <c r="A550" s="1" t="s">
        <v>1246</v>
      </c>
      <c r="B550" s="24" t="s">
        <v>1247</v>
      </c>
    </row>
    <row r="551" customFormat="false" ht="15.75" hidden="false" customHeight="false" outlineLevel="0" collapsed="false">
      <c r="A551" s="1" t="s">
        <v>1248</v>
      </c>
      <c r="B551" s="24" t="s">
        <v>1249</v>
      </c>
    </row>
    <row r="552" customFormat="false" ht="15.75" hidden="false" customHeight="false" outlineLevel="0" collapsed="false">
      <c r="A552" s="1" t="s">
        <v>1250</v>
      </c>
      <c r="B552" s="24" t="s">
        <v>1251</v>
      </c>
    </row>
    <row r="553" customFormat="false" ht="15.75" hidden="false" customHeight="false" outlineLevel="0" collapsed="false">
      <c r="A553" s="1" t="s">
        <v>1252</v>
      </c>
      <c r="B553" s="24" t="s">
        <v>1253</v>
      </c>
    </row>
    <row r="554" customFormat="false" ht="15.75" hidden="false" customHeight="false" outlineLevel="0" collapsed="false">
      <c r="A554" s="1" t="s">
        <v>1254</v>
      </c>
      <c r="B554" s="24" t="s">
        <v>1255</v>
      </c>
    </row>
    <row r="555" customFormat="false" ht="15.75" hidden="false" customHeight="false" outlineLevel="0" collapsed="false">
      <c r="A555" s="1" t="s">
        <v>1256</v>
      </c>
      <c r="B555" s="24" t="s">
        <v>1257</v>
      </c>
    </row>
    <row r="556" customFormat="false" ht="15.75" hidden="false" customHeight="false" outlineLevel="0" collapsed="false">
      <c r="A556" s="1" t="s">
        <v>1258</v>
      </c>
      <c r="B556" s="24" t="s">
        <v>1259</v>
      </c>
    </row>
    <row r="557" customFormat="false" ht="15.75" hidden="false" customHeight="false" outlineLevel="0" collapsed="false">
      <c r="A557" s="1" t="s">
        <v>1260</v>
      </c>
      <c r="B557" s="24" t="s">
        <v>1261</v>
      </c>
    </row>
    <row r="558" customFormat="false" ht="15.75" hidden="false" customHeight="false" outlineLevel="0" collapsed="false">
      <c r="A558" s="1" t="s">
        <v>1262</v>
      </c>
      <c r="B558" s="24" t="s">
        <v>1263</v>
      </c>
    </row>
    <row r="559" customFormat="false" ht="15.75" hidden="false" customHeight="false" outlineLevel="0" collapsed="false">
      <c r="A559" s="1" t="s">
        <v>1264</v>
      </c>
      <c r="B559" s="24" t="s">
        <v>1265</v>
      </c>
    </row>
    <row r="560" customFormat="false" ht="15.75" hidden="false" customHeight="false" outlineLevel="0" collapsed="false">
      <c r="A560" s="1" t="s">
        <v>1266</v>
      </c>
      <c r="B560" s="24" t="s">
        <v>1267</v>
      </c>
    </row>
    <row r="561" customFormat="false" ht="15.75" hidden="false" customHeight="false" outlineLevel="0" collapsed="false">
      <c r="A561" s="1" t="s">
        <v>1268</v>
      </c>
      <c r="B561" s="24" t="s">
        <v>1269</v>
      </c>
    </row>
    <row r="562" customFormat="false" ht="15.75" hidden="false" customHeight="false" outlineLevel="0" collapsed="false">
      <c r="A562" s="1" t="s">
        <v>1270</v>
      </c>
      <c r="B562" s="24" t="s">
        <v>1271</v>
      </c>
    </row>
    <row r="563" customFormat="false" ht="15.75" hidden="false" customHeight="false" outlineLevel="0" collapsed="false">
      <c r="A563" s="1" t="s">
        <v>1272</v>
      </c>
      <c r="B563" s="24" t="s">
        <v>1273</v>
      </c>
    </row>
    <row r="564" customFormat="false" ht="15.75" hidden="false" customHeight="false" outlineLevel="0" collapsed="false">
      <c r="A564" s="1" t="s">
        <v>1274</v>
      </c>
      <c r="B564" s="24" t="s">
        <v>1275</v>
      </c>
    </row>
    <row r="565" customFormat="false" ht="15.75" hidden="false" customHeight="false" outlineLevel="0" collapsed="false">
      <c r="A565" s="1" t="s">
        <v>1276</v>
      </c>
      <c r="B565" s="24" t="s">
        <v>1277</v>
      </c>
    </row>
    <row r="566" customFormat="false" ht="15.75" hidden="false" customHeight="false" outlineLevel="0" collapsed="false">
      <c r="A566" s="1" t="s">
        <v>1278</v>
      </c>
      <c r="B566" s="24" t="s">
        <v>1279</v>
      </c>
    </row>
    <row r="567" customFormat="false" ht="15.75" hidden="false" customHeight="false" outlineLevel="0" collapsed="false">
      <c r="A567" s="1" t="s">
        <v>1280</v>
      </c>
      <c r="B567" s="24" t="s">
        <v>1281</v>
      </c>
    </row>
    <row r="568" customFormat="false" ht="15.75" hidden="false" customHeight="false" outlineLevel="0" collapsed="false">
      <c r="A568" s="1" t="s">
        <v>1282</v>
      </c>
      <c r="B568" s="24" t="s">
        <v>1283</v>
      </c>
    </row>
    <row r="569" customFormat="false" ht="15.75" hidden="false" customHeight="false" outlineLevel="0" collapsed="false">
      <c r="A569" s="1" t="s">
        <v>1284</v>
      </c>
      <c r="B569" s="24" t="s">
        <v>1285</v>
      </c>
    </row>
    <row r="570" customFormat="false" ht="15.75" hidden="false" customHeight="false" outlineLevel="0" collapsed="false">
      <c r="A570" s="1" t="s">
        <v>1286</v>
      </c>
      <c r="B570" s="24" t="s">
        <v>1287</v>
      </c>
    </row>
    <row r="571" customFormat="false" ht="15.75" hidden="false" customHeight="false" outlineLevel="0" collapsed="false">
      <c r="A571" s="1" t="s">
        <v>1288</v>
      </c>
      <c r="B571" s="24" t="s">
        <v>1289</v>
      </c>
    </row>
    <row r="572" customFormat="false" ht="15.75" hidden="false" customHeight="false" outlineLevel="0" collapsed="false">
      <c r="A572" s="1" t="s">
        <v>1290</v>
      </c>
      <c r="B572" s="24" t="s">
        <v>1291</v>
      </c>
    </row>
    <row r="573" customFormat="false" ht="15.75" hidden="false" customHeight="false" outlineLevel="0" collapsed="false">
      <c r="A573" s="1" t="s">
        <v>1292</v>
      </c>
      <c r="B573" s="24" t="s">
        <v>1293</v>
      </c>
    </row>
    <row r="574" customFormat="false" ht="15.75" hidden="false" customHeight="false" outlineLevel="0" collapsed="false">
      <c r="A574" s="1" t="s">
        <v>1294</v>
      </c>
      <c r="B574" s="24" t="s">
        <v>1295</v>
      </c>
    </row>
    <row r="575" customFormat="false" ht="15.75" hidden="false" customHeight="false" outlineLevel="0" collapsed="false">
      <c r="A575" s="1" t="s">
        <v>1296</v>
      </c>
      <c r="B575" s="24" t="s">
        <v>1297</v>
      </c>
    </row>
    <row r="576" customFormat="false" ht="15.75" hidden="false" customHeight="false" outlineLevel="0" collapsed="false">
      <c r="A576" s="1" t="s">
        <v>1298</v>
      </c>
      <c r="B576" s="24" t="s">
        <v>1299</v>
      </c>
    </row>
    <row r="577" customFormat="false" ht="15.75" hidden="false" customHeight="false" outlineLevel="0" collapsed="false">
      <c r="A577" s="1" t="s">
        <v>1300</v>
      </c>
      <c r="B577" s="24" t="s">
        <v>1301</v>
      </c>
    </row>
    <row r="578" customFormat="false" ht="15.75" hidden="false" customHeight="false" outlineLevel="0" collapsed="false">
      <c r="A578" s="1" t="s">
        <v>1302</v>
      </c>
      <c r="B578" s="24" t="s">
        <v>1303</v>
      </c>
    </row>
    <row r="579" customFormat="false" ht="15.75" hidden="false" customHeight="false" outlineLevel="0" collapsed="false">
      <c r="A579" s="1" t="s">
        <v>1304</v>
      </c>
      <c r="B579" s="24" t="s">
        <v>1305</v>
      </c>
    </row>
    <row r="580" customFormat="false" ht="15.75" hidden="false" customHeight="false" outlineLevel="0" collapsed="false">
      <c r="A580" s="1" t="s">
        <v>1306</v>
      </c>
      <c r="B580" s="24" t="s">
        <v>1307</v>
      </c>
    </row>
    <row r="581" customFormat="false" ht="15.75" hidden="false" customHeight="false" outlineLevel="0" collapsed="false">
      <c r="A581" s="1" t="s">
        <v>1308</v>
      </c>
      <c r="B581" s="24" t="s">
        <v>1309</v>
      </c>
    </row>
    <row r="582" customFormat="false" ht="15.75" hidden="false" customHeight="false" outlineLevel="0" collapsed="false">
      <c r="A582" s="1" t="s">
        <v>1310</v>
      </c>
      <c r="B582" s="24" t="s">
        <v>1311</v>
      </c>
    </row>
    <row r="583" customFormat="false" ht="15.75" hidden="false" customHeight="false" outlineLevel="0" collapsed="false">
      <c r="A583" s="1" t="s">
        <v>1312</v>
      </c>
      <c r="B583" s="24" t="s">
        <v>1313</v>
      </c>
    </row>
    <row r="584" customFormat="false" ht="15.75" hidden="false" customHeight="false" outlineLevel="0" collapsed="false">
      <c r="A584" s="1" t="s">
        <v>1314</v>
      </c>
      <c r="B584" s="24" t="s">
        <v>1315</v>
      </c>
    </row>
    <row r="585" customFormat="false" ht="15.75" hidden="false" customHeight="false" outlineLevel="0" collapsed="false">
      <c r="A585" s="1" t="s">
        <v>1316</v>
      </c>
      <c r="B585" s="24" t="s">
        <v>1317</v>
      </c>
    </row>
    <row r="586" customFormat="false" ht="15.75" hidden="false" customHeight="false" outlineLevel="0" collapsed="false">
      <c r="A586" s="1" t="s">
        <v>1318</v>
      </c>
      <c r="B586" s="24" t="s">
        <v>1319</v>
      </c>
    </row>
    <row r="587" customFormat="false" ht="15.75" hidden="false" customHeight="false" outlineLevel="0" collapsed="false">
      <c r="A587" s="1" t="s">
        <v>1320</v>
      </c>
      <c r="B587" s="24" t="s">
        <v>1321</v>
      </c>
    </row>
    <row r="588" customFormat="false" ht="15.75" hidden="false" customHeight="false" outlineLevel="0" collapsed="false">
      <c r="A588" s="1" t="s">
        <v>1322</v>
      </c>
      <c r="B588" s="24" t="s">
        <v>1323</v>
      </c>
    </row>
    <row r="589" customFormat="false" ht="15.75" hidden="false" customHeight="false" outlineLevel="0" collapsed="false">
      <c r="A589" s="1" t="s">
        <v>1324</v>
      </c>
      <c r="B589" s="24" t="s">
        <v>1325</v>
      </c>
    </row>
    <row r="590" customFormat="false" ht="15.75" hidden="false" customHeight="false" outlineLevel="0" collapsed="false">
      <c r="A590" s="1" t="s">
        <v>1326</v>
      </c>
      <c r="B590" s="24" t="s">
        <v>1327</v>
      </c>
    </row>
    <row r="591" customFormat="false" ht="15.75" hidden="false" customHeight="false" outlineLevel="0" collapsed="false">
      <c r="A591" s="1" t="s">
        <v>1328</v>
      </c>
      <c r="B591" s="24" t="s">
        <v>1329</v>
      </c>
    </row>
    <row r="592" customFormat="false" ht="15.75" hidden="false" customHeight="false" outlineLevel="0" collapsed="false">
      <c r="A592" s="1" t="s">
        <v>1330</v>
      </c>
      <c r="B592" s="24" t="s">
        <v>1331</v>
      </c>
    </row>
    <row r="593" customFormat="false" ht="15.75" hidden="false" customHeight="false" outlineLevel="0" collapsed="false">
      <c r="A593" s="1" t="s">
        <v>1332</v>
      </c>
      <c r="B593" s="24" t="s">
        <v>1333</v>
      </c>
    </row>
    <row r="594" customFormat="false" ht="15.75" hidden="false" customHeight="false" outlineLevel="0" collapsed="false">
      <c r="A594" s="1" t="s">
        <v>1334</v>
      </c>
      <c r="B594" s="24" t="s">
        <v>1335</v>
      </c>
    </row>
    <row r="595" customFormat="false" ht="15.75" hidden="false" customHeight="false" outlineLevel="0" collapsed="false">
      <c r="A595" s="1" t="s">
        <v>1336</v>
      </c>
      <c r="B595" s="24" t="s">
        <v>1337</v>
      </c>
    </row>
    <row r="596" customFormat="false" ht="15.75" hidden="false" customHeight="false" outlineLevel="0" collapsed="false">
      <c r="A596" s="1" t="s">
        <v>1338</v>
      </c>
      <c r="B596" s="24" t="s">
        <v>1339</v>
      </c>
    </row>
    <row r="597" customFormat="false" ht="15.75" hidden="false" customHeight="false" outlineLevel="0" collapsed="false">
      <c r="A597" s="1" t="s">
        <v>1340</v>
      </c>
      <c r="B597" s="24" t="s">
        <v>1341</v>
      </c>
    </row>
    <row r="598" customFormat="false" ht="15.75" hidden="false" customHeight="false" outlineLevel="0" collapsed="false">
      <c r="A598" s="1" t="s">
        <v>1342</v>
      </c>
      <c r="B598" s="24" t="s">
        <v>1343</v>
      </c>
    </row>
    <row r="599" customFormat="false" ht="15.75" hidden="false" customHeight="false" outlineLevel="0" collapsed="false">
      <c r="A599" s="1" t="s">
        <v>1344</v>
      </c>
      <c r="B599" s="24" t="s">
        <v>1345</v>
      </c>
    </row>
    <row r="600" customFormat="false" ht="15.75" hidden="false" customHeight="false" outlineLevel="0" collapsed="false">
      <c r="A600" s="1" t="s">
        <v>1346</v>
      </c>
      <c r="B600" s="24" t="s">
        <v>1347</v>
      </c>
    </row>
    <row r="601" customFormat="false" ht="15.75" hidden="false" customHeight="false" outlineLevel="0" collapsed="false">
      <c r="A601" s="1" t="s">
        <v>1348</v>
      </c>
      <c r="B601" s="24" t="s">
        <v>1349</v>
      </c>
    </row>
    <row r="602" customFormat="false" ht="15.75" hidden="false" customHeight="false" outlineLevel="0" collapsed="false">
      <c r="A602" s="1" t="s">
        <v>1350</v>
      </c>
      <c r="B602" s="24" t="s">
        <v>1351</v>
      </c>
    </row>
    <row r="603" customFormat="false" ht="15.75" hidden="false" customHeight="false" outlineLevel="0" collapsed="false">
      <c r="A603" s="1" t="s">
        <v>1352</v>
      </c>
      <c r="B603" s="24" t="s">
        <v>1353</v>
      </c>
    </row>
    <row r="604" customFormat="false" ht="15.75" hidden="false" customHeight="false" outlineLevel="0" collapsed="false">
      <c r="A604" s="1" t="s">
        <v>1354</v>
      </c>
      <c r="B604" s="24" t="s">
        <v>1355</v>
      </c>
    </row>
    <row r="605" customFormat="false" ht="15.75" hidden="false" customHeight="false" outlineLevel="0" collapsed="false">
      <c r="A605" s="1" t="s">
        <v>1356</v>
      </c>
      <c r="B605" s="24" t="s">
        <v>1357</v>
      </c>
    </row>
    <row r="606" customFormat="false" ht="15.75" hidden="false" customHeight="false" outlineLevel="0" collapsed="false">
      <c r="A606" s="1" t="s">
        <v>1358</v>
      </c>
      <c r="B606" s="24" t="s">
        <v>1359</v>
      </c>
    </row>
    <row r="607" customFormat="false" ht="15.75" hidden="false" customHeight="false" outlineLevel="0" collapsed="false">
      <c r="A607" s="1" t="s">
        <v>1360</v>
      </c>
      <c r="B607" s="24" t="s">
        <v>1361</v>
      </c>
    </row>
    <row r="608" customFormat="false" ht="15.75" hidden="false" customHeight="false" outlineLevel="0" collapsed="false">
      <c r="A608" s="1" t="s">
        <v>1362</v>
      </c>
      <c r="B608" s="24" t="s">
        <v>1363</v>
      </c>
    </row>
    <row r="609" customFormat="false" ht="15.75" hidden="false" customHeight="false" outlineLevel="0" collapsed="false">
      <c r="A609" s="1" t="s">
        <v>1364</v>
      </c>
      <c r="B609" s="24" t="s">
        <v>1365</v>
      </c>
    </row>
    <row r="610" customFormat="false" ht="15.75" hidden="false" customHeight="false" outlineLevel="0" collapsed="false">
      <c r="A610" s="1" t="s">
        <v>1366</v>
      </c>
      <c r="B610" s="24" t="s">
        <v>1367</v>
      </c>
    </row>
    <row r="611" customFormat="false" ht="15.75" hidden="false" customHeight="false" outlineLevel="0" collapsed="false">
      <c r="A611" s="1" t="s">
        <v>1368</v>
      </c>
      <c r="B611" s="24" t="s">
        <v>1369</v>
      </c>
    </row>
    <row r="612" customFormat="false" ht="15.75" hidden="false" customHeight="false" outlineLevel="0" collapsed="false">
      <c r="A612" s="1" t="s">
        <v>1370</v>
      </c>
      <c r="B612" s="24" t="s">
        <v>1371</v>
      </c>
    </row>
    <row r="613" customFormat="false" ht="15.75" hidden="false" customHeight="false" outlineLevel="0" collapsed="false">
      <c r="A613" s="1" t="s">
        <v>1372</v>
      </c>
      <c r="B613" s="24" t="s">
        <v>1373</v>
      </c>
    </row>
    <row r="614" customFormat="false" ht="15.75" hidden="false" customHeight="false" outlineLevel="0" collapsed="false">
      <c r="A614" s="1" t="s">
        <v>1374</v>
      </c>
      <c r="B614" s="24" t="s">
        <v>1375</v>
      </c>
    </row>
    <row r="615" customFormat="false" ht="15.75" hidden="false" customHeight="false" outlineLevel="0" collapsed="false">
      <c r="A615" s="1" t="s">
        <v>1376</v>
      </c>
      <c r="B615" s="24" t="s">
        <v>1377</v>
      </c>
    </row>
    <row r="616" customFormat="false" ht="15.75" hidden="false" customHeight="false" outlineLevel="0" collapsed="false">
      <c r="A616" s="1" t="s">
        <v>1378</v>
      </c>
      <c r="B616" s="24" t="s">
        <v>1379</v>
      </c>
    </row>
    <row r="617" customFormat="false" ht="15.75" hidden="false" customHeight="false" outlineLevel="0" collapsed="false">
      <c r="A617" s="1" t="s">
        <v>1380</v>
      </c>
      <c r="B617" s="24" t="s">
        <v>1381</v>
      </c>
    </row>
    <row r="618" customFormat="false" ht="15.75" hidden="false" customHeight="false" outlineLevel="0" collapsed="false">
      <c r="A618" s="1" t="s">
        <v>1382</v>
      </c>
      <c r="B618" s="24" t="s">
        <v>1383</v>
      </c>
    </row>
    <row r="619" customFormat="false" ht="15.75" hidden="false" customHeight="false" outlineLevel="0" collapsed="false">
      <c r="A619" s="1" t="s">
        <v>1384</v>
      </c>
      <c r="B619" s="24" t="s">
        <v>1385</v>
      </c>
    </row>
    <row r="620" customFormat="false" ht="15.75" hidden="false" customHeight="false" outlineLevel="0" collapsed="false">
      <c r="A620" s="1" t="s">
        <v>1386</v>
      </c>
      <c r="B620" s="24" t="s">
        <v>1387</v>
      </c>
    </row>
    <row r="621" customFormat="false" ht="15.75" hidden="false" customHeight="false" outlineLevel="0" collapsed="false">
      <c r="A621" s="1" t="s">
        <v>1388</v>
      </c>
      <c r="B621" s="24" t="s">
        <v>1389</v>
      </c>
    </row>
    <row r="622" customFormat="false" ht="15.75" hidden="false" customHeight="false" outlineLevel="0" collapsed="false">
      <c r="A622" s="1" t="s">
        <v>1390</v>
      </c>
      <c r="B622" s="24" t="s">
        <v>1391</v>
      </c>
    </row>
    <row r="623" customFormat="false" ht="15.75" hidden="false" customHeight="false" outlineLevel="0" collapsed="false">
      <c r="A623" s="1" t="s">
        <v>1392</v>
      </c>
      <c r="B623" s="24" t="s">
        <v>1393</v>
      </c>
    </row>
    <row r="624" customFormat="false" ht="15.75" hidden="false" customHeight="false" outlineLevel="0" collapsed="false">
      <c r="A624" s="1" t="s">
        <v>1394</v>
      </c>
      <c r="B624" s="24" t="s">
        <v>1395</v>
      </c>
    </row>
    <row r="625" customFormat="false" ht="15.75" hidden="false" customHeight="false" outlineLevel="0" collapsed="false">
      <c r="A625" s="1" t="s">
        <v>1396</v>
      </c>
      <c r="B625" s="24" t="s">
        <v>1397</v>
      </c>
    </row>
    <row r="626" customFormat="false" ht="15.75" hidden="false" customHeight="false" outlineLevel="0" collapsed="false">
      <c r="A626" s="1" t="s">
        <v>1398</v>
      </c>
      <c r="B626" s="24" t="s">
        <v>1399</v>
      </c>
    </row>
    <row r="627" customFormat="false" ht="15.75" hidden="false" customHeight="false" outlineLevel="0" collapsed="false">
      <c r="A627" s="1" t="s">
        <v>1400</v>
      </c>
      <c r="B627" s="24" t="s">
        <v>1401</v>
      </c>
    </row>
    <row r="628" customFormat="false" ht="15.75" hidden="false" customHeight="false" outlineLevel="0" collapsed="false">
      <c r="A628" s="1" t="s">
        <v>1402</v>
      </c>
      <c r="B628" s="24" t="s">
        <v>1403</v>
      </c>
    </row>
    <row r="629" customFormat="false" ht="15.75" hidden="false" customHeight="false" outlineLevel="0" collapsed="false">
      <c r="A629" s="1" t="s">
        <v>1404</v>
      </c>
      <c r="B629" s="24" t="s">
        <v>1405</v>
      </c>
    </row>
    <row r="630" customFormat="false" ht="15.75" hidden="false" customHeight="false" outlineLevel="0" collapsed="false">
      <c r="A630" s="1" t="s">
        <v>1406</v>
      </c>
      <c r="B630" s="24" t="s">
        <v>1407</v>
      </c>
    </row>
    <row r="631" customFormat="false" ht="15.75" hidden="false" customHeight="false" outlineLevel="0" collapsed="false">
      <c r="A631" s="1" t="s">
        <v>1408</v>
      </c>
      <c r="B631" s="24" t="s">
        <v>1409</v>
      </c>
    </row>
    <row r="632" customFormat="false" ht="15.75" hidden="false" customHeight="false" outlineLevel="0" collapsed="false">
      <c r="A632" s="1" t="s">
        <v>1410</v>
      </c>
      <c r="B632" s="24" t="s">
        <v>1411</v>
      </c>
    </row>
    <row r="633" customFormat="false" ht="15.75" hidden="false" customHeight="false" outlineLevel="0" collapsed="false">
      <c r="A633" s="1" t="s">
        <v>1412</v>
      </c>
      <c r="B633" s="24" t="s">
        <v>1413</v>
      </c>
    </row>
    <row r="634" customFormat="false" ht="15.75" hidden="false" customHeight="false" outlineLevel="0" collapsed="false">
      <c r="A634" s="1" t="s">
        <v>1414</v>
      </c>
      <c r="B634" s="24" t="s">
        <v>1415</v>
      </c>
    </row>
    <row r="635" customFormat="false" ht="15.75" hidden="false" customHeight="false" outlineLevel="0" collapsed="false">
      <c r="A635" s="1" t="s">
        <v>1416</v>
      </c>
      <c r="B635" s="24" t="s">
        <v>1417</v>
      </c>
    </row>
    <row r="636" customFormat="false" ht="15.75" hidden="false" customHeight="false" outlineLevel="0" collapsed="false">
      <c r="A636" s="1" t="s">
        <v>1418</v>
      </c>
      <c r="B636" s="24" t="s">
        <v>1419</v>
      </c>
    </row>
    <row r="637" customFormat="false" ht="15.75" hidden="false" customHeight="false" outlineLevel="0" collapsed="false">
      <c r="A637" s="1" t="s">
        <v>1420</v>
      </c>
      <c r="B637" s="24" t="s">
        <v>1421</v>
      </c>
    </row>
    <row r="638" customFormat="false" ht="15.75" hidden="false" customHeight="false" outlineLevel="0" collapsed="false">
      <c r="A638" s="1" t="s">
        <v>1422</v>
      </c>
      <c r="B638" s="24" t="s">
        <v>1423</v>
      </c>
    </row>
    <row r="639" customFormat="false" ht="15.75" hidden="false" customHeight="false" outlineLevel="0" collapsed="false">
      <c r="A639" s="1" t="s">
        <v>1424</v>
      </c>
      <c r="B639" s="24" t="s">
        <v>1425</v>
      </c>
    </row>
    <row r="640" customFormat="false" ht="15.75" hidden="false" customHeight="false" outlineLevel="0" collapsed="false">
      <c r="A640" s="1" t="s">
        <v>1426</v>
      </c>
      <c r="B640" s="24" t="s">
        <v>1427</v>
      </c>
    </row>
    <row r="641" customFormat="false" ht="15.75" hidden="false" customHeight="false" outlineLevel="0" collapsed="false">
      <c r="A641" s="1" t="s">
        <v>1428</v>
      </c>
      <c r="B641" s="24" t="s">
        <v>1429</v>
      </c>
    </row>
    <row r="642" customFormat="false" ht="15.75" hidden="false" customHeight="false" outlineLevel="0" collapsed="false">
      <c r="A642" s="1" t="s">
        <v>1430</v>
      </c>
      <c r="B642" s="24" t="s">
        <v>1431</v>
      </c>
    </row>
    <row r="643" customFormat="false" ht="15.75" hidden="false" customHeight="false" outlineLevel="0" collapsed="false">
      <c r="A643" s="1" t="s">
        <v>1432</v>
      </c>
      <c r="B643" s="24" t="s">
        <v>1433</v>
      </c>
    </row>
    <row r="644" customFormat="false" ht="15.75" hidden="false" customHeight="false" outlineLevel="0" collapsed="false">
      <c r="A644" s="1" t="s">
        <v>1434</v>
      </c>
      <c r="B644" s="24" t="s">
        <v>1435</v>
      </c>
    </row>
    <row r="645" customFormat="false" ht="15.75" hidden="false" customHeight="false" outlineLevel="0" collapsed="false">
      <c r="A645" s="1" t="s">
        <v>1436</v>
      </c>
      <c r="B645" s="24" t="s">
        <v>1437</v>
      </c>
    </row>
    <row r="646" customFormat="false" ht="15.75" hidden="false" customHeight="false" outlineLevel="0" collapsed="false">
      <c r="A646" s="1" t="s">
        <v>1438</v>
      </c>
      <c r="B646" s="24" t="s">
        <v>1439</v>
      </c>
    </row>
    <row r="647" customFormat="false" ht="15.75" hidden="false" customHeight="false" outlineLevel="0" collapsed="false">
      <c r="A647" s="1" t="s">
        <v>1440</v>
      </c>
      <c r="B647" s="24" t="s">
        <v>1441</v>
      </c>
    </row>
    <row r="648" customFormat="false" ht="15.75" hidden="false" customHeight="false" outlineLevel="0" collapsed="false">
      <c r="A648" s="1" t="s">
        <v>1442</v>
      </c>
      <c r="B648" s="24" t="s">
        <v>1443</v>
      </c>
    </row>
    <row r="649" customFormat="false" ht="15.75" hidden="false" customHeight="false" outlineLevel="0" collapsed="false">
      <c r="A649" s="1" t="s">
        <v>1444</v>
      </c>
      <c r="B649" s="24" t="s">
        <v>1445</v>
      </c>
    </row>
    <row r="650" customFormat="false" ht="15.75" hidden="false" customHeight="false" outlineLevel="0" collapsed="false">
      <c r="A650" s="1" t="s">
        <v>1446</v>
      </c>
      <c r="B650" s="24" t="s">
        <v>1447</v>
      </c>
    </row>
    <row r="651" customFormat="false" ht="15.75" hidden="false" customHeight="false" outlineLevel="0" collapsed="false">
      <c r="A651" s="1" t="s">
        <v>1448</v>
      </c>
      <c r="B651" s="24" t="s">
        <v>1449</v>
      </c>
    </row>
    <row r="652" customFormat="false" ht="15.75" hidden="false" customHeight="false" outlineLevel="0" collapsed="false">
      <c r="A652" s="1" t="s">
        <v>1450</v>
      </c>
      <c r="B652" s="24" t="s">
        <v>1451</v>
      </c>
    </row>
    <row r="653" customFormat="false" ht="15.75" hidden="false" customHeight="false" outlineLevel="0" collapsed="false">
      <c r="A653" s="1" t="s">
        <v>1452</v>
      </c>
      <c r="B653" s="24" t="s">
        <v>1453</v>
      </c>
    </row>
    <row r="654" customFormat="false" ht="15.75" hidden="false" customHeight="false" outlineLevel="0" collapsed="false">
      <c r="A654" s="1" t="s">
        <v>1454</v>
      </c>
      <c r="B654" s="24" t="s">
        <v>1455</v>
      </c>
    </row>
    <row r="655" customFormat="false" ht="15.75" hidden="false" customHeight="false" outlineLevel="0" collapsed="false">
      <c r="A655" s="1" t="s">
        <v>1456</v>
      </c>
      <c r="B655" s="24" t="s">
        <v>1457</v>
      </c>
    </row>
    <row r="656" customFormat="false" ht="15.75" hidden="false" customHeight="false" outlineLevel="0" collapsed="false">
      <c r="A656" s="1" t="s">
        <v>1458</v>
      </c>
      <c r="B656" s="24" t="s">
        <v>1459</v>
      </c>
    </row>
    <row r="657" customFormat="false" ht="15.75" hidden="false" customHeight="false" outlineLevel="0" collapsed="false">
      <c r="A657" s="1" t="s">
        <v>1460</v>
      </c>
      <c r="B657" s="24" t="s">
        <v>1461</v>
      </c>
    </row>
    <row r="658" customFormat="false" ht="15.75" hidden="false" customHeight="false" outlineLevel="0" collapsed="false">
      <c r="A658" s="1" t="s">
        <v>1462</v>
      </c>
      <c r="B658" s="24" t="s">
        <v>1463</v>
      </c>
    </row>
    <row r="659" customFormat="false" ht="15.75" hidden="false" customHeight="false" outlineLevel="0" collapsed="false">
      <c r="A659" s="1" t="s">
        <v>1464</v>
      </c>
      <c r="B659" s="24" t="s">
        <v>1465</v>
      </c>
    </row>
    <row r="660" customFormat="false" ht="15.75" hidden="false" customHeight="false" outlineLevel="0" collapsed="false">
      <c r="A660" s="1" t="s">
        <v>1466</v>
      </c>
      <c r="B660" s="24" t="s">
        <v>1467</v>
      </c>
    </row>
    <row r="661" customFormat="false" ht="15.75" hidden="false" customHeight="false" outlineLevel="0" collapsed="false">
      <c r="A661" s="1" t="s">
        <v>1468</v>
      </c>
      <c r="B661" s="24" t="s">
        <v>1469</v>
      </c>
    </row>
    <row r="662" customFormat="false" ht="15.75" hidden="false" customHeight="false" outlineLevel="0" collapsed="false">
      <c r="A662" s="1" t="s">
        <v>1470</v>
      </c>
      <c r="B662" s="24" t="s">
        <v>1471</v>
      </c>
    </row>
    <row r="663" customFormat="false" ht="15.75" hidden="false" customHeight="false" outlineLevel="0" collapsed="false">
      <c r="A663" s="1" t="s">
        <v>1472</v>
      </c>
      <c r="B663" s="24" t="s">
        <v>1473</v>
      </c>
    </row>
    <row r="664" customFormat="false" ht="15.75" hidden="false" customHeight="false" outlineLevel="0" collapsed="false">
      <c r="A664" s="1" t="s">
        <v>1474</v>
      </c>
      <c r="B664" s="24" t="s">
        <v>1475</v>
      </c>
    </row>
    <row r="665" customFormat="false" ht="15.75" hidden="false" customHeight="false" outlineLevel="0" collapsed="false">
      <c r="A665" s="1" t="s">
        <v>1476</v>
      </c>
      <c r="B665" s="24" t="s">
        <v>1477</v>
      </c>
    </row>
    <row r="666" customFormat="false" ht="15.75" hidden="false" customHeight="false" outlineLevel="0" collapsed="false">
      <c r="A666" s="1" t="s">
        <v>1478</v>
      </c>
      <c r="B666" s="24" t="s">
        <v>1479</v>
      </c>
    </row>
    <row r="667" customFormat="false" ht="15.75" hidden="false" customHeight="false" outlineLevel="0" collapsed="false">
      <c r="A667" s="1" t="s">
        <v>1480</v>
      </c>
      <c r="B667" s="24" t="s">
        <v>1481</v>
      </c>
    </row>
    <row r="668" customFormat="false" ht="15.75" hidden="false" customHeight="false" outlineLevel="0" collapsed="false">
      <c r="A668" s="1" t="s">
        <v>1482</v>
      </c>
      <c r="B668" s="24" t="s">
        <v>1483</v>
      </c>
    </row>
    <row r="669" customFormat="false" ht="15.75" hidden="false" customHeight="false" outlineLevel="0" collapsed="false">
      <c r="A669" s="1" t="s">
        <v>1484</v>
      </c>
      <c r="B669" s="24" t="s">
        <v>1485</v>
      </c>
    </row>
    <row r="670" customFormat="false" ht="15.75" hidden="false" customHeight="false" outlineLevel="0" collapsed="false">
      <c r="A670" s="1" t="s">
        <v>1486</v>
      </c>
      <c r="B670" s="24" t="s">
        <v>1487</v>
      </c>
    </row>
    <row r="671" customFormat="false" ht="15.75" hidden="false" customHeight="false" outlineLevel="0" collapsed="false">
      <c r="A671" s="1" t="s">
        <v>1488</v>
      </c>
      <c r="B671" s="24" t="s">
        <v>1489</v>
      </c>
    </row>
    <row r="672" customFormat="false" ht="15.75" hidden="false" customHeight="false" outlineLevel="0" collapsed="false">
      <c r="A672" s="1" t="s">
        <v>1490</v>
      </c>
      <c r="B672" s="24" t="s">
        <v>1491</v>
      </c>
    </row>
    <row r="673" customFormat="false" ht="15.75" hidden="false" customHeight="false" outlineLevel="0" collapsed="false">
      <c r="A673" s="1" t="s">
        <v>1492</v>
      </c>
      <c r="B673" s="24" t="s">
        <v>1493</v>
      </c>
    </row>
    <row r="674" customFormat="false" ht="15.75" hidden="false" customHeight="false" outlineLevel="0" collapsed="false">
      <c r="A674" s="1" t="s">
        <v>1494</v>
      </c>
      <c r="B674" s="24" t="s">
        <v>1495</v>
      </c>
    </row>
    <row r="675" customFormat="false" ht="15.75" hidden="false" customHeight="false" outlineLevel="0" collapsed="false">
      <c r="A675" s="1" t="s">
        <v>1496</v>
      </c>
      <c r="B675" s="24" t="s">
        <v>1497</v>
      </c>
    </row>
    <row r="676" customFormat="false" ht="15.75" hidden="false" customHeight="false" outlineLevel="0" collapsed="false">
      <c r="A676" s="1" t="s">
        <v>1498</v>
      </c>
      <c r="B676" s="24" t="s">
        <v>1499</v>
      </c>
    </row>
    <row r="677" customFormat="false" ht="15.75" hidden="false" customHeight="false" outlineLevel="0" collapsed="false">
      <c r="A677" s="1" t="s">
        <v>1500</v>
      </c>
      <c r="B677" s="24" t="s">
        <v>1501</v>
      </c>
    </row>
    <row r="678" customFormat="false" ht="15.75" hidden="false" customHeight="false" outlineLevel="0" collapsed="false">
      <c r="A678" s="1" t="s">
        <v>1502</v>
      </c>
      <c r="B678" s="24" t="s">
        <v>1503</v>
      </c>
    </row>
    <row r="679" customFormat="false" ht="15.75" hidden="false" customHeight="false" outlineLevel="0" collapsed="false">
      <c r="A679" s="1" t="s">
        <v>1504</v>
      </c>
      <c r="B679" s="24" t="s">
        <v>1505</v>
      </c>
    </row>
    <row r="680" customFormat="false" ht="15.75" hidden="false" customHeight="false" outlineLevel="0" collapsed="false">
      <c r="A680" s="1" t="s">
        <v>1506</v>
      </c>
      <c r="B680" s="24" t="s">
        <v>1507</v>
      </c>
    </row>
    <row r="681" customFormat="false" ht="15.75" hidden="false" customHeight="false" outlineLevel="0" collapsed="false">
      <c r="A681" s="1" t="s">
        <v>1508</v>
      </c>
      <c r="B681" s="24" t="s">
        <v>1509</v>
      </c>
    </row>
    <row r="682" customFormat="false" ht="15.75" hidden="false" customHeight="false" outlineLevel="0" collapsed="false">
      <c r="A682" s="1" t="s">
        <v>1510</v>
      </c>
      <c r="B682" s="24" t="s">
        <v>1511</v>
      </c>
    </row>
    <row r="683" customFormat="false" ht="15.75" hidden="false" customHeight="false" outlineLevel="0" collapsed="false">
      <c r="A683" s="1" t="s">
        <v>1512</v>
      </c>
      <c r="B683" s="24" t="s">
        <v>1513</v>
      </c>
    </row>
    <row r="684" customFormat="false" ht="15.75" hidden="false" customHeight="false" outlineLevel="0" collapsed="false">
      <c r="A684" s="1" t="s">
        <v>1514</v>
      </c>
      <c r="B684" s="24" t="s">
        <v>1515</v>
      </c>
    </row>
    <row r="685" customFormat="false" ht="15.75" hidden="false" customHeight="false" outlineLevel="0" collapsed="false">
      <c r="A685" s="1" t="s">
        <v>1516</v>
      </c>
      <c r="B685" s="24" t="s">
        <v>1517</v>
      </c>
    </row>
    <row r="686" customFormat="false" ht="15.75" hidden="false" customHeight="false" outlineLevel="0" collapsed="false">
      <c r="A686" s="1" t="s">
        <v>1518</v>
      </c>
      <c r="B686" s="24" t="s">
        <v>1519</v>
      </c>
    </row>
    <row r="687" customFormat="false" ht="15.75" hidden="false" customHeight="false" outlineLevel="0" collapsed="false">
      <c r="A687" s="1" t="s">
        <v>1520</v>
      </c>
      <c r="B687" s="24" t="s">
        <v>1521</v>
      </c>
    </row>
    <row r="688" customFormat="false" ht="15.75" hidden="false" customHeight="false" outlineLevel="0" collapsed="false">
      <c r="A688" s="1" t="s">
        <v>1522</v>
      </c>
      <c r="B688" s="24" t="s">
        <v>1523</v>
      </c>
    </row>
    <row r="689" customFormat="false" ht="15.75" hidden="false" customHeight="false" outlineLevel="0" collapsed="false">
      <c r="A689" s="1" t="s">
        <v>1524</v>
      </c>
      <c r="B689" s="24" t="s">
        <v>1525</v>
      </c>
    </row>
    <row r="690" customFormat="false" ht="15.75" hidden="false" customHeight="false" outlineLevel="0" collapsed="false">
      <c r="A690" s="1" t="s">
        <v>1526</v>
      </c>
      <c r="B690" s="24" t="s">
        <v>1527</v>
      </c>
    </row>
    <row r="691" customFormat="false" ht="15.75" hidden="false" customHeight="false" outlineLevel="0" collapsed="false">
      <c r="A691" s="1" t="s">
        <v>1528</v>
      </c>
      <c r="B691" s="24" t="s">
        <v>1529</v>
      </c>
    </row>
    <row r="692" customFormat="false" ht="15.75" hidden="false" customHeight="false" outlineLevel="0" collapsed="false">
      <c r="A692" s="1" t="s">
        <v>1530</v>
      </c>
      <c r="B692" s="24" t="s">
        <v>1531</v>
      </c>
    </row>
    <row r="693" customFormat="false" ht="15.75" hidden="false" customHeight="false" outlineLevel="0" collapsed="false">
      <c r="A693" s="1" t="s">
        <v>1532</v>
      </c>
      <c r="B693" s="24" t="s">
        <v>1533</v>
      </c>
    </row>
    <row r="694" customFormat="false" ht="15.75" hidden="false" customHeight="false" outlineLevel="0" collapsed="false">
      <c r="A694" s="1" t="s">
        <v>1534</v>
      </c>
      <c r="B694" s="24" t="s">
        <v>1535</v>
      </c>
    </row>
    <row r="695" customFormat="false" ht="15.75" hidden="false" customHeight="false" outlineLevel="0" collapsed="false">
      <c r="A695" s="1" t="s">
        <v>1536</v>
      </c>
      <c r="B695" s="24" t="s">
        <v>1537</v>
      </c>
    </row>
    <row r="696" customFormat="false" ht="15.75" hidden="false" customHeight="false" outlineLevel="0" collapsed="false">
      <c r="A696" s="1" t="s">
        <v>1538</v>
      </c>
      <c r="B696" s="24" t="s">
        <v>1539</v>
      </c>
    </row>
    <row r="697" customFormat="false" ht="15.75" hidden="false" customHeight="false" outlineLevel="0" collapsed="false">
      <c r="A697" s="1" t="s">
        <v>1540</v>
      </c>
      <c r="B697" s="24" t="s">
        <v>1541</v>
      </c>
    </row>
    <row r="698" customFormat="false" ht="15.75" hidden="false" customHeight="false" outlineLevel="0" collapsed="false">
      <c r="A698" s="1" t="s">
        <v>1542</v>
      </c>
      <c r="B698" s="24" t="s">
        <v>1543</v>
      </c>
    </row>
    <row r="699" customFormat="false" ht="15.75" hidden="false" customHeight="false" outlineLevel="0" collapsed="false">
      <c r="A699" s="1" t="s">
        <v>1544</v>
      </c>
      <c r="B699" s="24" t="s">
        <v>1545</v>
      </c>
    </row>
    <row r="700" customFormat="false" ht="15.75" hidden="false" customHeight="false" outlineLevel="0" collapsed="false">
      <c r="A700" s="1" t="s">
        <v>1546</v>
      </c>
      <c r="B700" s="24" t="s">
        <v>1547</v>
      </c>
    </row>
    <row r="701" customFormat="false" ht="15.75" hidden="false" customHeight="false" outlineLevel="0" collapsed="false">
      <c r="A701" s="1" t="s">
        <v>1548</v>
      </c>
      <c r="B701" s="24" t="s">
        <v>1549</v>
      </c>
    </row>
    <row r="702" customFormat="false" ht="15.75" hidden="false" customHeight="false" outlineLevel="0" collapsed="false">
      <c r="A702" s="1" t="s">
        <v>1550</v>
      </c>
      <c r="B702" s="24" t="s">
        <v>1551</v>
      </c>
    </row>
    <row r="703" customFormat="false" ht="15.75" hidden="false" customHeight="false" outlineLevel="0" collapsed="false">
      <c r="A703" s="1" t="s">
        <v>1552</v>
      </c>
      <c r="B703" s="24" t="s">
        <v>1553</v>
      </c>
    </row>
    <row r="704" customFormat="false" ht="15.75" hidden="false" customHeight="false" outlineLevel="0" collapsed="false">
      <c r="A704" s="1" t="s">
        <v>1554</v>
      </c>
      <c r="B704" s="24" t="s">
        <v>1555</v>
      </c>
    </row>
    <row r="705" customFormat="false" ht="15.75" hidden="false" customHeight="false" outlineLevel="0" collapsed="false">
      <c r="A705" s="1" t="s">
        <v>1556</v>
      </c>
      <c r="B705" s="24" t="s">
        <v>1557</v>
      </c>
    </row>
  </sheetData>
  <sheetProtection sheet="true" password="c702"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83984375" defaultRowHeight="15.75" zeroHeight="false" outlineLevelRow="0" outlineLevelCol="0"/>
  <cols>
    <col collapsed="false" customWidth="true" hidden="false" outlineLevel="0" max="1" min="1" style="1" width="20.66"/>
    <col collapsed="false" customWidth="true" hidden="false" outlineLevel="0" max="2" min="2" style="1" width="9"/>
    <col collapsed="false" customWidth="false" hidden="false" outlineLevel="0" max="1024" min="3" style="1" width="8.83"/>
  </cols>
  <sheetData>
    <row r="1" customFormat="false" ht="15.75" hidden="false" customHeight="false" outlineLevel="0" collapsed="false">
      <c r="A1" s="1" t="s">
        <v>1558</v>
      </c>
      <c r="B1" s="26" t="s">
        <v>1559</v>
      </c>
    </row>
    <row r="2" customFormat="false" ht="15.75" hidden="false" customHeight="false" outlineLevel="0" collapsed="false">
      <c r="A2" s="1" t="s">
        <v>1560</v>
      </c>
      <c r="B2" s="27" t="n">
        <f aca="false">MAX(validation!Q2:Q201)</f>
        <v>1</v>
      </c>
    </row>
    <row r="3" customFormat="false" ht="15.75" hidden="false" customHeight="false" outlineLevel="0" collapsed="false">
      <c r="A3" s="1" t="s">
        <v>1561</v>
      </c>
      <c r="B3" s="27" t="b">
        <f aca="false">AND(hasntErrors,NOT(isEmpty),NOT(hasBlankLines))</f>
        <v>1</v>
      </c>
    </row>
    <row r="4" customFormat="false" ht="15.75" hidden="false" customHeight="false" outlineLevel="0" collapsed="false">
      <c r="A4" s="1" t="s">
        <v>1562</v>
      </c>
      <c r="B4" s="19" t="b">
        <f aca="false">COUNTIF(validation!N2:N201, CONCATENATE("=", FALSE()))=0</f>
        <v>1</v>
      </c>
    </row>
    <row r="5" customFormat="false" ht="15.75" hidden="false" customHeight="false" outlineLevel="0" collapsed="false">
      <c r="A5" s="1" t="s">
        <v>1563</v>
      </c>
      <c r="B5" s="19" t="b">
        <f aca="false">COUNTIF(validation!A2:A201, CONCATENATE("=", TRUE()) )=0</f>
        <v>0</v>
      </c>
    </row>
    <row r="6" customFormat="false" ht="15.75" hidden="false" customHeight="false" outlineLevel="0" collapsed="false">
      <c r="A6" s="1" t="s">
        <v>1564</v>
      </c>
      <c r="B6" s="19" t="b">
        <f aca="false">COUNTIF(validation!P2:P201, CONCATENATE("=", FALSE()))&lt;&gt;0</f>
        <v>0</v>
      </c>
    </row>
  </sheetData>
  <sheetProtection algorithmName="SHA-512" hashValue="ou8yefIu/z6rLx0+eo5HRQkCi9LNBOj5F/Pb7zUM2jQouLv03nKqApOqSrk4zjRuNO9jAugQvsKiGn0LzNZ8kA==" saltValue="4EmHvDwws9bVW7C9r2WnRA==" spinCount="100000" sheet="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2017-11-23T09:35:44Z</dcterms:created>
  <dc:creator>Utilisateur de Microsoft Office</dc:creator>
  <dc:description/>
  <dc:language>en-US</dc:language>
  <cp:lastModifiedBy/>
  <dcterms:modified xsi:type="dcterms:W3CDTF">2026-07-01T13:03:45Z</dcterms:modified>
  <cp:revision>108</cp:revision>
  <dc:subject/>
  <dc:title/>
</cp:coreProperties>
</file>

<file path=docProps/custom.xml><?xml version="1.0" encoding="utf-8"?>
<Properties xmlns="http://schemas.openxmlformats.org/officeDocument/2006/custom-properties" xmlns:vt="http://schemas.openxmlformats.org/officeDocument/2006/docPropsVTypes"/>
</file>